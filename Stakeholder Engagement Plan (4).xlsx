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are.sharepoint.com/sites/SA-Project-Grant-RCR/Shared Documents/03-InDocs/02-WSP/Stakeholder Engagement Plan/"/>
    </mc:Choice>
  </mc:AlternateContent>
  <xr:revisionPtr revIDLastSave="386" documentId="8_{74CA3EE3-B413-45E0-984A-B563C2098DF3}" xr6:coauthVersionLast="47" xr6:coauthVersionMax="47" xr10:uidLastSave="{AF8D0D36-E249-4E4D-99A6-AAC0A3DAE060}"/>
  <bookViews>
    <workbookView xWindow="-120" yWindow="-120" windowWidth="29040" windowHeight="15720" firstSheet="8" activeTab="9" xr2:uid="{00000000-000D-0000-FFFF-FFFF00000000}"/>
  </bookViews>
  <sheets>
    <sheet name="01_Exec Summary" sheetId="1" r:id="rId1"/>
    <sheet name="Sheet2" sheetId="18" r:id="rId2"/>
    <sheet name="02_Engagement Strategy" sheetId="2"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5" l="1"/>
  <c r="L8" i="15"/>
  <c r="M8" i="15"/>
  <c r="L9" i="15"/>
  <c r="M9" i="15"/>
  <c r="L10" i="15"/>
  <c r="M10" i="15"/>
  <c r="L11" i="15"/>
  <c r="M11" i="15"/>
  <c r="B12" i="1"/>
  <c r="M15" i="15"/>
  <c r="L15" i="15"/>
  <c r="M14" i="15"/>
  <c r="L14" i="15"/>
  <c r="M13" i="15"/>
  <c r="L13" i="15"/>
  <c r="M12" i="15"/>
  <c r="L12"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<sst xmlns="http://schemas.openxmlformats.org/spreadsheetml/2006/main" count="3130" uniqueCount="1914">
  <si>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</si>
  <si>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</si>
  <si>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</si>
  <si>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</si>
  <si>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</si>
  <si>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</si>
  <si>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</si>
  <si>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</si>
  <si>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</si>
  <si>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</si>
  <si>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</si>
  <si>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</si>
  <si>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</si>
  <si>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</si>
  <si>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</si>
  <si>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</si>
  <si>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</si>
  <si>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</si>
  <si>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</si>
  <si>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</si>
  <si>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</si>
  <si>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</si>
  <si>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</si>
  <si>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</si>
  <si>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</si>
  <si>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</si>
  <si>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</si>
  <si>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</si>
  <si>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</si>
  <si>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</si>
  <si>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</si>
  <si>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</si>
  <si>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</si>
  <si>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</si>
  <si>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</si>
  <si>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</si>
  <si>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</si>
  <si>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</si>
  <si>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</si>
  <si>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</si>
  <si>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</si>
  <si>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</si>
  <si>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</si>
  <si>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</si>
  <si>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</si>
  <si>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</si>
  <si>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</si>
  <si>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</si>
  <si>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</si>
  <si>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</si>
  <si>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</si>
  <si>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</si>
  <si>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</si>
  <si>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</si>
  <si>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</si>
  <si>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</si>
  <si>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</si>
  <si>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</si>
  <si>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</si>
  <si>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</si>
  <si>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</si>
  <si>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</si>
  <si>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</si>
  <si>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</si>
  <si>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</si>
  <si>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</si>
  <si>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</si>
  <si>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</si>
  <si>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</si>
  <si>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</si>
  <si>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</si>
  <si>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</si>
  <si>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</si>
  <si>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</si>
  <si>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</si>
  <si>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</si>
  <si>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</si>
  <si>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</si>
  <si>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</si>
  <si>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</si>
  <si>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</si>
  <si>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</si>
  <si>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</si>
  <si>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</si>
  <si>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</si>
  <si>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Municipal  / Planning &amp; Lands</t>
  </si>
  <si>
    <t>align on  grants, and title lands context.</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</si>
  <si>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</si>
  <si>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</si>
  <si>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</si>
  <si>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</si>
  <si>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</si>
  <si>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</si>
  <si>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 xml:space="preserve">Validated the data </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</si>
  <si>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</si>
  <si>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</si>
  <si>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</si>
  <si>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</si>
  <si>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</si>
  <si>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</si>
  <si>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</si>
  <si>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</si>
  <si>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</si>
  <si>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</si>
  <si>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</si>
  <si>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</si>
  <si>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</si>
  <si>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</si>
  <si>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</si>
  <si>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</si>
  <si>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</si>
  <si>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</si>
  <si>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</si>
  <si>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</si>
  <si>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</si>
  <si>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</si>
  <si>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</si>
  <si>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</si>
  <si>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</si>
  <si>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</si>
  <si>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</si>
  <si>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</si>
  <si>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</si>
  <si>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</si>
  <si>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</si>
  <si>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</si>
  <si>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</si>
  <si>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</si>
  <si>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</si>
  <si>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</si>
  <si>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</si>
  <si>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</si>
  <si>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</si>
  <si>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</si>
  <si>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</si>
  <si>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</si>
  <si>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</si>
  <si>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</si>
  <si>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</si>
  <si>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</si>
  <si>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</si>
  <si>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</si>
  <si>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</si>
  <si>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</si>
  <si>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</si>
  <si>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</si>
  <si>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</si>
  <si>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</si>
  <si>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</si>
  <si>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</si>
  <si>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</si>
  <si>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</si>
  <si>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</si>
  <si>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</si>
  <si>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</si>
  <si>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</si>
  <si>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</si>
  <si>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</si>
  <si>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</si>
  <si>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</si>
  <si>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</si>
  <si>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</si>
  <si>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</si>
  <si>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</si>
  <si>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</si>
  <si>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</si>
  <si>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</si>
  <si>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</si>
  <si>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</si>
  <si>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</si>
  <si>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</si>
  <si>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</si>
  <si>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</si>
  <si>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</si>
  <si>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</si>
  <si>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</si>
  <si>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</si>
  <si>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</si>
  <si>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</si>
  <si>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</si>
  <si>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</si>
  <si>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</si>
  <si>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</si>
  <si>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</si>
  <si>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</si>
  <si>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</si>
  <si>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</si>
  <si>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</si>
  <si>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</si>
  <si>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</si>
  <si>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data, legal ownership status,  Stage 4 parcel decisions.</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</si>
  <si>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</si>
  <si>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</si>
  <si>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</si>
  <si>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</si>
  <si>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</si>
  <si>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</si>
  <si>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</si>
  <si>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</si>
  <si>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</si>
  <si>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</si>
  <si>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</si>
  <si>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</si>
  <si>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</si>
  <si>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</si>
  <si>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</si>
  <si>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</si>
  <si>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</si>
  <si>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</si>
  <si>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</si>
  <si>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</si>
  <si>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</si>
  <si>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 xml:space="preserve">Ministry of Defense /Ministry of Interior </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</si>
  <si>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</si>
  <si>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</si>
  <si>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</si>
  <si>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</si>
  <si>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</si>
  <si>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</si>
  <si>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</si>
  <si>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</si>
  <si>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</si>
  <si>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</si>
  <si>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</si>
  <si>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</si>
  <si>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</si>
  <si>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</si>
  <si>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</si>
  <si>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</si>
  <si>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</si>
  <si>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</si>
  <si>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</si>
  <si>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</si>
  <si>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</si>
  <si>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</si>
  <si>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</si>
  <si>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</si>
  <si>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</si>
  <si>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</si>
  <si>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</si>
  <si>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</si>
  <si>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</si>
  <si>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</si>
  <si>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</si>
  <si>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</si>
  <si>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</si>
  <si>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</si>
  <si>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</si>
  <si>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</si>
  <si>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</si>
  <si>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</si>
  <si>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</si>
  <si>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</si>
  <si>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</si>
  <si>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</si>
  <si>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</si>
  <si>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</si>
  <si>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</si>
  <si>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</si>
  <si>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</si>
  <si>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</si>
  <si>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</si>
  <si>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</si>
  <si>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</si>
  <si>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</si>
  <si>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</si>
  <si>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</si>
  <si>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</si>
  <si>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</si>
  <si>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</si>
  <si>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</si>
  <si>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</si>
  <si>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</si>
  <si>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</si>
  <si>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</si>
  <si>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</si>
  <si>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</si>
  <si>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</si>
  <si>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</si>
  <si>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</si>
  <si>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</si>
  <si>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</si>
  <si>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</si>
  <si>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</si>
  <si>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</si>
  <si>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</si>
  <si>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</si>
  <si>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</si>
  <si>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</si>
  <si>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</si>
  <si>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</si>
  <si>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</si>
  <si>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</si>
  <si>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</si>
  <si>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</si>
  <si>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</si>
  <si>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</si>
  <si>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</si>
  <si>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</si>
  <si>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</si>
  <si>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</si>
  <si>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</si>
  <si>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</si>
  <si>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</si>
  <si>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</si>
  <si>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</si>
  <si>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</si>
  <si>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</si>
  <si>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</si>
  <si>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</si>
  <si>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</si>
  <si>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</si>
  <si>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</si>
  <si>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</si>
  <si>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</si>
  <si>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</si>
  <si>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</si>
  <si>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</si>
  <si>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</si>
  <si>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</si>
  <si>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</si>
  <si>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</si>
  <si>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</si>
  <si>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</si>
  <si>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</si>
  <si>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</si>
  <si>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</si>
  <si>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</si>
  <si>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</si>
  <si>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</si>
  <si>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</si>
  <si>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</si>
  <si>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</si>
  <si>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</si>
  <si>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</si>
  <si>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</si>
  <si>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</si>
  <si>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</si>
  <si>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</si>
  <si>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</si>
  <si>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</si>
  <si>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</si>
  <si>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</si>
  <si>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</si>
  <si>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</si>
  <si>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</si>
  <si>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</si>
  <si>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</si>
  <si>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</si>
  <si>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</si>
  <si>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</si>
  <si>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</si>
  <si>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</si>
  <si>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</si>
  <si>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</si>
  <si>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</si>
  <si>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</si>
  <si>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</si>
  <si>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</si>
  <si>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</si>
  <si>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</si>
  <si>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</si>
  <si>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</si>
  <si>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</si>
  <si>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</si>
  <si>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</si>
  <si>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</si>
  <si>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</si>
  <si>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</si>
  <si>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</si>
  <si>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</si>
  <si>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</si>
  <si>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</si>
  <si>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</si>
  <si>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</si>
  <si>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</si>
  <si>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</si>
  <si>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</si>
  <si>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</si>
  <si>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</si>
  <si>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</si>
  <si>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</si>
  <si>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</si>
  <si>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</si>
  <si>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</si>
  <si>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</si>
  <si>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</si>
  <si>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</si>
  <si>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</si>
  <si>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</si>
  <si>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</si>
  <si>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</si>
  <si>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</si>
  <si>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</si>
  <si>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</si>
  <si>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</si>
  <si>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</si>
  <si>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</si>
  <si>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</si>
  <si>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</si>
  <si>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</si>
  <si>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</si>
  <si>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</si>
  <si>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</si>
  <si>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</si>
  <si>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</si>
  <si>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</si>
  <si>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</si>
  <si>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</si>
  <si>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</si>
  <si>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</si>
  <si>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</si>
  <si>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</si>
  <si>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</si>
  <si>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</si>
  <si>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</si>
  <si>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</si>
  <si>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</si>
  <si>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</si>
  <si>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</si>
  <si>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</si>
  <si>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</si>
  <si>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</si>
  <si>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</si>
  <si>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</si>
  <si>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</si>
  <si>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</si>
  <si>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</si>
  <si>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</si>
  <si>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</si>
  <si>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</si>
  <si>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</si>
  <si>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</si>
  <si>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</si>
  <si>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</si>
  <si>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</si>
  <si>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</si>
  <si>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</si>
  <si>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</si>
  <si>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</si>
  <si>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</si>
  <si>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</si>
  <si>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</si>
  <si>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</si>
  <si>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</si>
  <si>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</si>
  <si>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</si>
  <si>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</si>
  <si>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</si>
  <si>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</si>
  <si>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</si>
  <si>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</si>
  <si>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</si>
  <si>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</si>
  <si>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</si>
  <si>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</si>
  <si>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</si>
  <si>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</si>
  <si>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</si>
  <si>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</si>
  <si>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</si>
  <si>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</si>
  <si>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</si>
  <si>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</si>
  <si>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</si>
  <si>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</si>
  <si>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</si>
  <si>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</si>
  <si>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</si>
  <si>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</si>
  <si>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</si>
  <si>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</si>
  <si>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</si>
  <si>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</si>
  <si>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</si>
  <si>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</si>
  <si>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</si>
  <si>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</si>
  <si>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</si>
  <si>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</si>
  <si>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</si>
  <si>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</si>
  <si>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</si>
  <si>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</si>
  <si>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</si>
  <si>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</si>
  <si>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</si>
  <si>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</si>
  <si>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</si>
  <si>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</si>
  <si>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</si>
  <si>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</si>
  <si>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</si>
  <si>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</si>
  <si>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</si>
  <si>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</si>
  <si>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</si>
  <si>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</si>
  <si>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</si>
  <si>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</si>
  <si>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</si>
  <si>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</si>
  <si>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</si>
  <si>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</si>
  <si>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</si>
  <si>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</si>
  <si>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</si>
  <si>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</si>
  <si>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</si>
  <si>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</si>
  <si>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</si>
  <si>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</si>
  <si>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</si>
  <si>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</si>
  <si>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</si>
  <si>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</si>
  <si>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</si>
  <si>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</si>
  <si>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</si>
  <si>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</si>
  <si>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</si>
  <si>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</si>
  <si>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</si>
  <si>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</si>
  <si>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</si>
  <si>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</si>
  <si>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</si>
  <si>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</si>
  <si>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</si>
  <si>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</si>
  <si>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</si>
  <si>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</si>
  <si>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</si>
  <si>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</si>
  <si>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</si>
  <si>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</si>
  <si>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</si>
  <si>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</si>
  <si>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</si>
  <si>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</si>
  <si>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</si>
  <si>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</si>
  <si>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</si>
  <si>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</si>
  <si>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</si>
  <si>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</si>
  <si>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</si>
  <si>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</si>
  <si>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</si>
  <si>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</si>
  <si>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</si>
  <si>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</si>
  <si>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</si>
  <si>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</si>
  <si>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</si>
  <si>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</si>
  <si>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</si>
  <si>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</si>
  <si>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</si>
  <si>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</si>
  <si>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</si>
  <si>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</si>
  <si>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</si>
  <si>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</si>
  <si>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</si>
  <si>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</si>
  <si>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</si>
  <si>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</si>
  <si>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</si>
  <si>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</si>
  <si>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</si>
  <si>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</si>
  <si>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</si>
  <si>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</si>
  <si>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</si>
  <si>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</si>
  <si>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</si>
  <si>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</si>
  <si>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</si>
  <si>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</si>
  <si>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</si>
  <si>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</si>
  <si>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</si>
  <si>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</si>
  <si>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</si>
  <si>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</si>
  <si>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</si>
  <si>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</si>
  <si>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</si>
  <si>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</si>
  <si>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</si>
  <si>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</si>
  <si>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</si>
  <si>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</si>
  <si>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</si>
  <si>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</si>
  <si>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</si>
  <si>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</si>
  <si>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</si>
  <si>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</si>
  <si>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</si>
  <si>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</si>
  <si>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</si>
  <si>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</si>
  <si>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</si>
  <si>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</si>
  <si>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</si>
  <si>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</si>
  <si>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</si>
  <si>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</si>
  <si>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</si>
  <si>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</si>
  <si>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</si>
  <si>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</si>
  <si>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</si>
  <si>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</si>
  <si>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</si>
  <si>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</si>
  <si>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</si>
  <si>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</si>
  <si>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</si>
  <si>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</si>
  <si>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</si>
  <si>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</si>
  <si>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</si>
  <si>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</si>
  <si>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</si>
  <si>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</si>
  <si>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</si>
  <si>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</si>
  <si>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</si>
  <si>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</si>
  <si>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</si>
  <si>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</si>
  <si>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</si>
  <si>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</si>
  <si>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</si>
  <si>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</si>
  <si>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</si>
  <si>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</si>
  <si>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</si>
  <si>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</si>
  <si>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</si>
  <si>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</si>
  <si>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</si>
  <si>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</si>
  <si>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</si>
  <si>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</si>
  <si>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</si>
  <si>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</si>
  <si>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</si>
  <si>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</si>
  <si>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</si>
  <si>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</si>
  <si>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</si>
  <si>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</si>
  <si>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</si>
  <si>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</si>
  <si>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</si>
  <si>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</si>
  <si>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</si>
  <si>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</si>
  <si>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</si>
  <si>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</si>
  <si>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</si>
  <si>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</si>
  <si>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</si>
  <si>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</si>
  <si>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</si>
  <si>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</si>
  <si>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</si>
  <si>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</si>
  <si>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</si>
  <si>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</si>
  <si>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</si>
  <si>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</si>
  <si>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</si>
  <si>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</si>
  <si>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</si>
  <si>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</si>
  <si>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</si>
  <si>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</si>
  <si>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</si>
  <si>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</si>
  <si>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</si>
  <si>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</si>
  <si>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</si>
  <si>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</si>
  <si>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</si>
  <si>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</si>
  <si>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</si>
  <si>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</si>
  <si>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</si>
  <si>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</si>
  <si>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</si>
  <si>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</si>
  <si>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</si>
  <si>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</si>
  <si>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</si>
  <si>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</si>
  <si>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</si>
  <si>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</si>
  <si>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</si>
  <si>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</si>
  <si>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</si>
  <si>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</si>
  <si>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</si>
  <si>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</si>
  <si>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</si>
  <si>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</si>
  <si>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</si>
  <si>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</si>
  <si>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</si>
  <si>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</si>
  <si>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</si>
  <si>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</si>
  <si>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</si>
  <si>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</si>
  <si>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</si>
  <si>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</si>
  <si>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</si>
  <si>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</si>
  <si>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</si>
  <si>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</si>
  <si>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</si>
  <si>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</si>
  <si>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</si>
  <si>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</si>
  <si>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</si>
  <si>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</si>
  <si>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</si>
  <si>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</si>
  <si>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</si>
  <si>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</si>
  <si>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</si>
  <si>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</si>
  <si>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</si>
  <si>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</si>
  <si>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</si>
  <si>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</si>
  <si>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</si>
  <si>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</si>
  <si>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</si>
  <si>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</si>
  <si>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</si>
  <si>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</si>
  <si>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</si>
  <si>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</si>
  <si>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</si>
  <si>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</si>
  <si>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</si>
  <si>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</si>
  <si>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</si>
  <si>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</si>
  <si>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</si>
  <si>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</si>
  <si>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</si>
  <si>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</si>
  <si>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</si>
  <si>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</si>
  <si>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</si>
  <si>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</si>
  <si>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</si>
  <si>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</si>
  <si>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</si>
  <si>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</si>
  <si>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</si>
  <si>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</si>
  <si>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</si>
  <si>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</si>
  <si>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</si>
  <si>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</si>
  <si>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</si>
  <si>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</si>
  <si>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</si>
  <si>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</si>
  <si>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</si>
  <si>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</si>
  <si>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</si>
  <si>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</si>
  <si>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</si>
  <si>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</si>
  <si>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</si>
  <si>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</si>
  <si>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</si>
  <si>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</si>
  <si>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</si>
  <si>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</si>
  <si>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</si>
  <si>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</si>
  <si>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</si>
  <si>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</si>
  <si>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</si>
  <si>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</si>
  <si>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</si>
  <si>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</si>
  <si>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</si>
  <si>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</si>
  <si>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</si>
  <si>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</si>
  <si>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</si>
  <si>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</si>
  <si>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</si>
  <si>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</si>
  <si>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</si>
  <si>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</si>
  <si>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</si>
  <si>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</si>
  <si>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</si>
  <si>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</si>
  <si>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</si>
  <si>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</si>
  <si>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</si>
  <si>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</si>
  <si>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</si>
  <si>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</si>
  <si>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</si>
  <si>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</si>
  <si>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</si>
  <si>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</si>
  <si>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</si>
  <si>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</si>
  <si>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</si>
  <si>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</si>
  <si>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</si>
  <si>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</si>
  <si>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</si>
  <si>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</si>
  <si>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</si>
  <si>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</si>
  <si>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</si>
  <si>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</si>
  <si>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</si>
  <si>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</si>
  <si>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</si>
  <si>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</si>
  <si>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</si>
  <si>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</si>
  <si>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</si>
  <si>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</si>
  <si>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</si>
  <si>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</si>
  <si>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</si>
  <si>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</si>
  <si>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</si>
  <si>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</si>
  <si>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</si>
  <si>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</si>
  <si>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</si>
  <si>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</si>
  <si>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</si>
  <si>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</si>
  <si>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</si>
  <si>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</si>
  <si>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</si>
  <si>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</si>
  <si>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</si>
  <si>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</si>
  <si>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</si>
  <si>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</si>
  <si>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</si>
  <si>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</si>
  <si>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</si>
  <si>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</si>
  <si>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</si>
  <si>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</si>
  <si>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</si>
  <si>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</si>
  <si>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</si>
  <si>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</si>
  <si>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</si>
  <si>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</si>
  <si>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</si>
  <si>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</si>
  <si>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</si>
  <si>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</si>
  <si>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</si>
  <si>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</si>
  <si>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</si>
  <si>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</si>
  <si>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</si>
  <si>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</si>
  <si>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</si>
  <si>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</si>
  <si>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</si>
  <si>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</si>
  <si>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</si>
  <si>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</si>
  <si>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</si>
  <si>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</si>
  <si>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</si>
  <si>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</si>
  <si>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</si>
  <si>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</si>
  <si>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</si>
  <si>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</si>
  <si>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</si>
  <si>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</si>
  <si>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</si>
  <si>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</si>
  <si>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</si>
  <si>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</si>
  <si>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</si>
  <si>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</si>
  <si>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</si>
  <si>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</si>
  <si>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</si>
  <si>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</si>
  <si>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</si>
  <si>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</si>
  <si>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</si>
  <si>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</si>
  <si>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</si>
  <si>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</si>
  <si>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</si>
  <si>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</si>
  <si>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</si>
  <si>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</si>
  <si>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</si>
  <si>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</si>
  <si>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</si>
  <si>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</si>
  <si>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</si>
  <si>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</si>
  <si>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</si>
  <si>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</si>
  <si>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</si>
  <si>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</si>
  <si>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</si>
  <si>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</si>
  <si>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</si>
  <si>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</si>
  <si>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</si>
  <si>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</si>
  <si>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</si>
  <si>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</si>
  <si>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</si>
  <si>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</si>
  <si>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</si>
  <si>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</si>
  <si>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</si>
  <si>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</si>
  <si>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</si>
  <si>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</si>
  <si>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</si>
  <si>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</si>
  <si>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</si>
  <si>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</si>
  <si>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</si>
  <si>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</si>
  <si>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</si>
  <si>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</si>
  <si>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</si>
  <si>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</si>
  <si>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</si>
  <si>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</si>
  <si>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</si>
  <si>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</si>
  <si>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</si>
  <si>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</si>
  <si>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</si>
  <si>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</si>
  <si>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</si>
  <si>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</si>
  <si>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</si>
  <si>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</si>
  <si>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</si>
  <si>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</si>
  <si>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</si>
  <si>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</si>
  <si>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</si>
  <si>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</si>
  <si>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</si>
  <si>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</si>
  <si>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</si>
  <si>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</si>
  <si>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</si>
  <si>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</si>
  <si>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</si>
  <si>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</si>
  <si>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</si>
  <si>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</si>
  <si>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</si>
  <si>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</si>
  <si>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</si>
  <si>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</si>
  <si>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</si>
  <si>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</si>
  <si>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</si>
  <si>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</si>
  <si>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</si>
  <si>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</si>
  <si>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</si>
  <si>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</si>
  <si>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</si>
  <si>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</si>
  <si>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</si>
  <si>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</si>
  <si>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</si>
  <si>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</si>
  <si>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</si>
  <si>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</si>
  <si>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</si>
  <si>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</si>
  <si>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</si>
  <si>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</si>
  <si>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</si>
  <si>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</si>
  <si>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</si>
  <si>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</si>
  <si>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</si>
  <si>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</si>
  <si>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</si>
  <si>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</si>
  <si>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</si>
  <si>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</si>
  <si>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</si>
  <si>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</si>
  <si>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</si>
  <si>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</si>
  <si>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</si>
  <si>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</si>
  <si>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</si>
  <si>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</si>
  <si>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</si>
  <si>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</si>
  <si>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</si>
  <si>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</si>
  <si>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</si>
  <si>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</si>
  <si>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</si>
  <si>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</si>
  <si>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</si>
  <si>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</si>
  <si>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</si>
  <si>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</si>
  <si>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</si>
  <si>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</si>
  <si>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</si>
  <si>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</si>
  <si>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</si>
  <si>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</si>
  <si>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</si>
  <si>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</si>
  <si>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</si>
  <si>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</si>
  <si>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</si>
  <si>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</si>
  <si>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</si>
  <si>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</si>
  <si>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</si>
  <si>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</si>
  <si>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</si>
  <si>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</si>
  <si>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</si>
  <si>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</si>
  <si>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</si>
  <si>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</si>
  <si>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</si>
  <si>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</si>
  <si>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</si>
  <si>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</si>
  <si>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</si>
  <si>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</si>
  <si>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</si>
  <si>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</si>
  <si>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</si>
  <si>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</si>
  <si>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</si>
  <si>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</si>
  <si>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</si>
  <si>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</si>
  <si>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</si>
  <si>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</si>
  <si>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</si>
  <si>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</si>
  <si>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</si>
  <si>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</si>
  <si>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</si>
  <si>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</si>
  <si>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</si>
  <si>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</si>
  <si>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</si>
  <si>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</si>
  <si>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</si>
  <si>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</si>
  <si>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</si>
  <si>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</si>
  <si>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</si>
  <si>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</si>
  <si>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</si>
  <si>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</si>
  <si>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</si>
  <si>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</si>
  <si>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</si>
  <si>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</si>
  <si>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</si>
  <si>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</si>
  <si>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</si>
  <si>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</si>
  <si>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</si>
  <si>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</si>
  <si>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</si>
  <si>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</si>
  <si>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</si>
  <si>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</si>
  <si>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</si>
  <si>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</si>
  <si>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</si>
  <si>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</si>
  <si>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</si>
  <si>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</si>
  <si>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</si>
  <si>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</si>
  <si>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</si>
  <si>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</si>
  <si>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</si>
  <si>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</si>
  <si>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</si>
  <si>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</si>
  <si>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</si>
  <si>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</si>
  <si>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</si>
  <si>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</si>
  <si>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</si>
  <si>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</si>
  <si>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</si>
  <si>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</si>
  <si>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</si>
  <si>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</si>
  <si>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</si>
  <si>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</si>
  <si>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</si>
  <si>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</si>
  <si>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</si>
  <si>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</si>
  <si>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</si>
  <si>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</si>
  <si>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</si>
  <si>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</si>
  <si>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</si>
  <si>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</si>
  <si>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</si>
  <si>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</si>
  <si>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</si>
  <si>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</si>
  <si>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</si>
  <si>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</si>
  <si>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</si>
  <si>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</si>
  <si>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</si>
  <si>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</si>
  <si>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</si>
  <si>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</si>
  <si>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</si>
  <si>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</si>
  <si>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</si>
  <si>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</si>
  <si>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</si>
  <si>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</si>
  <si>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</si>
  <si>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</si>
  <si>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</si>
  <si>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</si>
  <si>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</si>
  <si>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</si>
  <si>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</si>
  <si>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</si>
  <si>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</si>
  <si>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</si>
  <si>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</si>
  <si>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</si>
  <si>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</si>
  <si>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</si>
  <si>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</si>
  <si>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</si>
  <si>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</si>
  <si>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</si>
  <si>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</si>
  <si>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</si>
  <si>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</si>
  <si>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</si>
  <si>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</si>
  <si>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</si>
  <si>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</si>
  <si>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</si>
  <si>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</si>
  <si>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</si>
  <si>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</si>
  <si>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</si>
  <si>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</si>
  <si>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</si>
  <si>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</si>
  <si>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</si>
  <si>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</si>
  <si>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</si>
  <si>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</si>
  <si>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</si>
  <si>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</si>
  <si>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</si>
  <si>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</si>
  <si>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</si>
  <si>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</si>
  <si>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</si>
  <si>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</si>
  <si>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</si>
  <si>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</si>
  <si>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</si>
  <si>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</si>
  <si>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</si>
  <si>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</si>
  <si>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</si>
  <si>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</si>
  <si>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</si>
  <si>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</si>
  <si>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</si>
  <si>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</si>
  <si>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</si>
  <si>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</si>
  <si>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</si>
  <si>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</si>
  <si>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</si>
  <si>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</si>
  <si>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</si>
  <si>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</si>
  <si>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</si>
  <si>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</si>
  <si>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</si>
  <si>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</si>
  <si>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</si>
  <si>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</si>
  <si>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</si>
  <si>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</si>
  <si>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</si>
  <si>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</si>
  <si>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</si>
  <si>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</si>
  <si>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</si>
  <si>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</si>
  <si>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</si>
  <si>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</si>
  <si>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</si>
  <si>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</si>
  <si>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</si>
  <si>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</si>
  <si>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</si>
  <si>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</si>
  <si>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</si>
  <si>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</si>
  <si>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</si>
  <si>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</si>
  <si>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</si>
  <si>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</si>
  <si>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</si>
  <si>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</si>
  <si>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</si>
  <si>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</si>
  <si>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</si>
  <si>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</si>
  <si>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</si>
  <si>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</si>
  <si>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</si>
  <si>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</si>
  <si>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</si>
  <si>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</si>
  <si>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</si>
  <si>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</si>
  <si>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</si>
  <si>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</si>
  <si>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</si>
  <si>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</si>
  <si>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</si>
  <si>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</si>
  <si>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</si>
  <si>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</si>
  <si>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</si>
  <si>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</si>
  <si>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</si>
  <si>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</si>
  <si>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</si>
  <si>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</si>
  <si>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</si>
  <si>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</si>
  <si>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</si>
  <si>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</si>
  <si>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</si>
  <si>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</si>
  <si>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</si>
  <si>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</si>
  <si>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</si>
  <si>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</si>
  <si>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</si>
  <si>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</si>
  <si>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</si>
  <si>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</si>
  <si>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</si>
  <si>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</si>
  <si>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</si>
  <si>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</si>
  <si>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</si>
  <si>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</si>
  <si>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</si>
  <si>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</si>
  <si>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</si>
  <si>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</si>
  <si>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</si>
  <si>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</si>
  <si>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</si>
  <si>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</si>
  <si>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</si>
  <si>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</si>
  <si>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</si>
  <si>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</si>
  <si>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</si>
  <si>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</si>
  <si>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</si>
  <si>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</si>
  <si>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</si>
  <si>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</si>
  <si>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</si>
  <si>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</si>
  <si>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</si>
  <si>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</si>
  <si>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</si>
  <si>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</si>
  <si>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</si>
  <si>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</si>
  <si>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</si>
  <si>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</si>
  <si>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</si>
  <si>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</si>
  <si>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</si>
  <si>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</si>
  <si>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</si>
  <si>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</si>
  <si>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</si>
  <si>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</si>
  <si>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</si>
  <si>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</si>
  <si>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</si>
  <si>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</si>
  <si>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</si>
  <si>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</si>
  <si>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</si>
  <si>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</si>
  <si>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</si>
  <si>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</si>
  <si>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</si>
  <si>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</si>
  <si>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</si>
  <si>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</si>
  <si>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</si>
  <si>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</si>
  <si>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</si>
  <si>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</si>
  <si>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</si>
  <si>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</si>
  <si>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</si>
  <si>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</si>
  <si>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</si>
  <si>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</si>
  <si>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</si>
  <si>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</si>
  <si>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</si>
  <si>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</si>
  <si>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</si>
  <si>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</si>
  <si>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</si>
  <si>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</si>
  <si>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</si>
  <si>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</si>
  <si>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</si>
  <si>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</si>
  <si>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</si>
  <si>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</si>
  <si>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</si>
  <si>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</si>
  <si>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</si>
  <si>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</si>
  <si>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</si>
  <si>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</si>
  <si>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</si>
  <si>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</si>
  <si>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</si>
  <si>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</si>
  <si>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</si>
  <si>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</si>
  <si>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</si>
  <si>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</si>
  <si>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</si>
  <si>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</si>
  <si>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</si>
  <si>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</si>
  <si>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</si>
  <si>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</si>
  <si>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</si>
  <si>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</si>
  <si>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</si>
  <si>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</si>
  <si>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</si>
  <si>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</si>
  <si>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</si>
  <si>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</si>
  <si>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</si>
  <si>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</si>
  <si>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</si>
  <si>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</si>
  <si>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</si>
  <si>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</si>
  <si>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</si>
  <si>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</si>
  <si>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</si>
  <si>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</si>
  <si>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</si>
  <si>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</si>
  <si>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</si>
  <si>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</si>
  <si>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</si>
  <si>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</si>
  <si>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</si>
  <si>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</si>
  <si>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</si>
  <si>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</si>
  <si>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</si>
  <si>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</si>
  <si>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</si>
  <si>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</si>
  <si>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</si>
  <si>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</si>
  <si>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</si>
  <si>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</si>
  <si>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</si>
  <si>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</si>
  <si>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</si>
  <si>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</si>
  <si>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</si>
  <si>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</si>
  <si>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</si>
  <si>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</si>
  <si>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</si>
  <si>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</si>
  <si>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</si>
  <si>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</si>
  <si>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</si>
  <si>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</si>
  <si>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</si>
  <si>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</si>
  <si>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</si>
  <si>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</si>
  <si>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</si>
  <si>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</si>
  <si>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</si>
  <si>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</si>
  <si>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</si>
  <si>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</si>
  <si>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</si>
  <si>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</si>
  <si>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</si>
  <si>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</si>
  <si>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</si>
  <si>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</si>
  <si>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</si>
  <si>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</si>
  <si>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</si>
  <si>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</si>
  <si>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</si>
  <si>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</si>
  <si>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</si>
  <si>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</si>
  <si>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</si>
  <si>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</si>
  <si>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</si>
  <si>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</si>
  <si>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</si>
  <si>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</si>
  <si>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</si>
  <si>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</si>
  <si>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</si>
  <si>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</si>
  <si>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</si>
  <si>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</si>
  <si>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</si>
  <si>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</si>
  <si>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</si>
  <si>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</si>
  <si>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</si>
  <si>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</si>
  <si>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</si>
  <si>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</si>
  <si>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</si>
  <si>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</si>
  <si>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</si>
  <si>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</si>
  <si>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</si>
  <si>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</si>
  <si>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</si>
  <si>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</si>
  <si>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</si>
  <si>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</si>
  <si>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</si>
  <si>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</si>
  <si>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</si>
  <si>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</si>
  <si>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</si>
  <si>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</si>
  <si>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</si>
  <si>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</si>
  <si>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</si>
  <si>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</si>
  <si>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</si>
  <si>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</si>
  <si>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</si>
  <si>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</si>
  <si>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</si>
  <si>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</si>
  <si>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</si>
  <si>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</si>
  <si>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</si>
  <si>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</si>
  <si>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</si>
  <si>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</si>
  <si>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</si>
  <si>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</si>
  <si>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</si>
  <si>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</si>
  <si>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</si>
  <si>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</si>
  <si>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</si>
  <si>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</si>
  <si>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</si>
  <si>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</si>
  <si>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</si>
  <si>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</si>
  <si>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</si>
  <si>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</si>
  <si>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</si>
  <si>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</si>
  <si>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</si>
  <si>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</si>
  <si>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</si>
  <si>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</si>
  <si>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</si>
  <si>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</si>
  <si>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</si>
  <si>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</si>
  <si>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</si>
  <si>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</si>
  <si>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</si>
  <si>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</si>
  <si>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</si>
  <si>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</si>
  <si>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</si>
  <si>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</si>
  <si>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</si>
  <si>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</si>
  <si>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</si>
  <si>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</si>
  <si>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</si>
  <si>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</si>
  <si>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</si>
  <si>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</si>
  <si>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</si>
  <si>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</si>
  <si>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</si>
  <si>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</si>
  <si>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</si>
  <si>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</si>
  <si>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</si>
  <si>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</si>
  <si>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</si>
  <si>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</si>
  <si>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</si>
  <si>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</si>
  <si>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</si>
  <si>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</si>
  <si>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</si>
  <si>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</si>
  <si>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</si>
  <si>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</si>
  <si>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</si>
  <si>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</si>
  <si>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</si>
  <si>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</si>
  <si>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</si>
  <si>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</si>
  <si>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</si>
  <si>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</si>
  <si>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</si>
  <si>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</si>
  <si>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</si>
  <si>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</si>
  <si>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</si>
  <si>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</si>
  <si>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</si>
  <si>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</si>
  <si>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</si>
  <si>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</si>
  <si>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</si>
  <si>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</si>
  <si>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</si>
  <si>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</si>
  <si>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</si>
  <si>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</si>
  <si>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</si>
  <si>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</si>
  <si>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</si>
  <si>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</si>
  <si>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</si>
  <si>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</si>
  <si>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</si>
  <si>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</si>
  <si>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</si>
  <si>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</si>
  <si>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</si>
  <si>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</si>
  <si>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</si>
  <si>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</si>
  <si>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</si>
  <si>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</si>
  <si>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</si>
  <si>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</si>
  <si>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</si>
  <si>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</si>
  <si>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</si>
  <si>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</si>
  <si>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</si>
  <si>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</si>
  <si>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</si>
  <si>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</si>
  <si>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</si>
  <si>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</si>
  <si>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</si>
  <si>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</si>
  <si>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</si>
  <si>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</si>
  <si>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</si>
  <si>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</si>
  <si>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</si>
  <si>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</si>
  <si>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</si>
  <si>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</si>
  <si>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</si>
  <si>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</si>
  <si>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</si>
  <si>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</si>
  <si>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</si>
  <si>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</si>
  <si>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</si>
  <si>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</si>
  <si>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</si>
  <si>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</si>
  <si>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</si>
  <si>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</si>
  <si>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</si>
  <si>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</si>
  <si>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</si>
  <si>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</si>
  <si>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</si>
  <si>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</si>
  <si>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</si>
  <si>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</si>
  <si>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</si>
  <si>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</si>
  <si>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</si>
  <si>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</si>
  <si>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</si>
  <si>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</si>
  <si>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</si>
  <si>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</si>
  <si>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</si>
  <si>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</si>
  <si>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</si>
  <si>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</si>
  <si>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</si>
  <si>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</si>
  <si>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</si>
  <si>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</si>
  <si>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</si>
  <si>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</si>
  <si>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</si>
  <si>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</si>
  <si>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</si>
  <si>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</si>
  <si>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</si>
  <si>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</si>
  <si>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</si>
  <si>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</si>
  <si>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</si>
  <si>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</si>
  <si>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</si>
  <si>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</si>
  <si>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</si>
  <si>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</si>
  <si>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</si>
  <si>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</si>
  <si>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</si>
  <si>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</si>
  <si>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</si>
  <si>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</si>
  <si>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</si>
  <si>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</si>
  <si>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</si>
  <si>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</si>
  <si>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</si>
  <si>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</si>
  <si>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</si>
  <si>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</si>
  <si>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</si>
  <si>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</si>
  <si>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</si>
  <si>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</si>
  <si>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</si>
  <si>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</si>
  <si>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</si>
  <si>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</si>
  <si>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</si>
  <si>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</si>
  <si>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</si>
  <si>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</si>
  <si>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</si>
  <si>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</si>
  <si>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</si>
  <si>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</si>
  <si>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</si>
  <si>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</si>
  <si>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</si>
  <si>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</si>
  <si>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</si>
  <si>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</si>
  <si>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</si>
  <si>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</si>
  <si>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</si>
  <si>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</si>
  <si>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</si>
  <si>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</si>
  <si>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</si>
  <si>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</si>
  <si>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</si>
  <si>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</si>
  <si>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</si>
  <si>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</si>
  <si>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</si>
  <si>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</si>
  <si>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</si>
  <si>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</si>
  <si>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</si>
  <si>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</si>
  <si>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</si>
  <si>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</si>
  <si>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</si>
  <si>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</si>
  <si>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</si>
  <si>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</si>
  <si>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</si>
  <si>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</si>
  <si>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</si>
  <si>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</si>
  <si>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</si>
  <si>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</si>
  <si>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</si>
  <si>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</si>
  <si>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</si>
  <si>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</si>
  <si>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</si>
  <si>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</si>
  <si>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</si>
  <si>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</si>
  <si>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</si>
  <si>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</si>
  <si>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</si>
  <si>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</si>
  <si>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</si>
  <si>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</si>
  <si>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</si>
  <si>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</si>
  <si>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</si>
  <si>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</si>
  <si>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</si>
  <si>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</si>
  <si>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</si>
  <si>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</si>
  <si>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</si>
  <si>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</si>
  <si>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</si>
  <si>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</si>
  <si>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</si>
  <si>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</si>
  <si>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</si>
  <si>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</si>
  <si>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</si>
  <si>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</si>
  <si>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</si>
  <si>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</si>
  <si>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</si>
  <si>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</si>
  <si>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</si>
  <si>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</si>
  <si>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</si>
  <si>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</si>
  <si>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</si>
  <si>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</si>
  <si>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</si>
  <si>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</si>
  <si>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Ministry of Municipalities and Housing (MOMAH)</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</si>
  <si>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</si>
  <si>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</si>
  <si>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</si>
  <si>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</si>
  <si>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</si>
  <si>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</si>
  <si>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t>
  </si>
  <si>
    <t>Riyadh Plan</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</si>
  <si>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</si>
  <si>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</si>
  <si>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</si>
  <si>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</si>
  <si>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</si>
  <si>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</si>
  <si>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</si>
  <si>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</si>
  <si>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</si>
  <si>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</si>
  <si>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</si>
  <si>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</si>
  <si>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</si>
  <si>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required</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</si>
  <si>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</si>
  <si>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</si>
  <si>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</si>
  <si>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</si>
  <si>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</si>
  <si>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</si>
  <si>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Coordinate with the Data Management/Exchange Office (DMO).</t>
  </si>
  <si>
    <t>A meeting was held at the end of July in the presence of Riyadh Municipality. Several points were raised, but no responses have been received yet.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</si>
  <si>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</si>
  <si>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</si>
  <si>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</si>
  <si>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</si>
  <si>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</si>
  <si>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</si>
  <si>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</si>
  <si>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</si>
  <si>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</si>
  <si>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Complete the data review and identify any gaps or further coordination requirements</t>
  </si>
  <si>
    <t>Update / Notes: The requested data was received on 19 August and is currently being reviewed by the team.</t>
  </si>
  <si>
    <t>Minutes of meeting2</t>
  </si>
  <si>
    <t>Minutes of meeting3</t>
  </si>
  <si>
    <t>Minutes of meeting4</t>
  </si>
  <si>
    <t>Minutes of meeting5</t>
  </si>
  <si>
    <t>Minutes of meeting6</t>
  </si>
  <si>
    <t>Minutes of meeting7</t>
  </si>
  <si>
    <t>Minutes of meeting8</t>
  </si>
  <si>
    <t>Biotic</t>
  </si>
  <si>
    <t>Economy and Technology</t>
  </si>
  <si>
    <t>low</t>
  </si>
  <si>
    <t xml:space="preserve">once if needed </t>
  </si>
  <si>
    <t>Follow-up completed ON 24 AUG</t>
  </si>
  <si>
    <t>Municipal planning, land, infrastructure and baseline data coordination</t>
  </si>
  <si>
    <t>Align on figures and key assumptions used for the Stage 4 structure plan and supporting technical workstreams.</t>
  </si>
  <si>
    <t>Agreed figures, validated assumptions and action log</t>
  </si>
  <si>
    <t>End of October</t>
  </si>
  <si>
    <t>Confirm the latest figures and assumption register before the meeting.</t>
  </si>
  <si>
    <t>Service Provider</t>
  </si>
  <si>
    <t>Service delivery capacity, coverage, standards and implementation constraints</t>
  </si>
  <si>
    <t>Validate service requirements, delivery assumptions, interfaces and implementation constraints for Stage 4.</t>
  </si>
  <si>
    <t>Service delivery assumptions and constraints log</t>
  </si>
  <si>
    <t>December</t>
  </si>
  <si>
    <t>Coordinate the relevant provider and confirm attendance.</t>
  </si>
  <si>
    <t>Renewable Energy Service Provider</t>
  </si>
  <si>
    <t>Renewable energy supply, technology options and implementation requirements</t>
  </si>
  <si>
    <t>Review renewable energy opportunities, capacity assumptions, technical interfaces and delivery requirements.</t>
  </si>
  <si>
    <t>Renewable energy options and technical requirements log</t>
  </si>
  <si>
    <t>Confirm provider and required technical inputs.</t>
  </si>
  <si>
    <t>Potential Investor</t>
  </si>
  <si>
    <t>Investment appetite, delivery model and commercial requirements</t>
  </si>
  <si>
    <t>Test investor interest, clarify investment criteria and identify information required for potential participation.</t>
  </si>
  <si>
    <t>Investor feedback and information requirements log</t>
  </si>
  <si>
    <t>Prepare a concise investment proposition after confirming the engagement route.</t>
  </si>
  <si>
    <t>Ministry of Communications and Information Technology (MCIT)</t>
  </si>
  <si>
    <t>Digital infrastructure, communications policy and technology enablement</t>
  </si>
  <si>
    <t>Digital Infrastructure / Technology</t>
  </si>
  <si>
    <t>Confirm digital infrastructure, connectivity and technology requirements affecting the Stage 4 plan.</t>
  </si>
  <si>
    <t>Align Stage 4 digital infrastructure assumptions with national communications and technology direction</t>
  </si>
  <si>
    <t>Connectivity standards, digital infrastructure requirements, planned initiatives and coordination route</t>
  </si>
  <si>
    <t>Focused technical workshop</t>
  </si>
  <si>
    <t>Digital Infrastructure Lead</t>
  </si>
  <si>
    <t>At key Stage 4 gates</t>
  </si>
  <si>
    <t>Before infrastructure strategy freeze</t>
  </si>
  <si>
    <t>Validated digital infrastructure assumptions and action log</t>
  </si>
  <si>
    <t>RCRC PM -&gt; MCIT focal point</t>
  </si>
  <si>
    <t>New Dashboard Update</t>
  </si>
  <si>
    <t>Potential investment and delivery partners</t>
  </si>
  <si>
    <t>Investment / Delivery</t>
  </si>
  <si>
    <t>Test investment appetite and clarify commercial and delivery requirements for potential participation.</t>
  </si>
  <si>
    <t>Understand investor requirements and identify viable engagement and delivery pathways</t>
  </si>
  <si>
    <t>Investment criteria, preferred delivery models, information requirements and decision timeline</t>
  </si>
  <si>
    <t>Investor briefing and focused discussion</t>
  </si>
  <si>
    <t>Commercial / Investment Lead</t>
  </si>
  <si>
    <t>Initial meeting + follow-up if required</t>
  </si>
  <si>
    <t>RCRC PM -&gt; Investment Lead</t>
  </si>
  <si>
    <t xml:space="preserve">Amanah Urbn Palnning Team </t>
  </si>
  <si>
    <t>Update / Notes: The requested data was received on 19 August and is currently being reviewed by the Wet &amp; Dry Utilities team on 25 Aug.</t>
  </si>
  <si>
    <t>Follow-up with NWC is required for verification.</t>
  </si>
  <si>
    <t>Coordinate with NWC to verify the data and confirm any outstanding gaps or requirements.</t>
  </si>
  <si>
    <t>Follow-up required. RCRC (Ryan) has been informed.</t>
  </si>
  <si>
    <t xml:space="preserve">Ryan will coordinate directly with the Reserve Authority and raise our questions for clarification.-last update 26 aug </t>
  </si>
  <si>
    <t>Good to Have</t>
  </si>
  <si>
    <t>MOMAH / Riyadh Municipality</t>
  </si>
  <si>
    <t>Can Riyadh Municipality and the Ministry of Municipalities and Housing provide RCRC with copies of the official documents related to grant land allocation decisions for parcels where title deeds have not been issued?</t>
  </si>
  <si>
    <t>Can the specifications of the replacement land be changed for holders of official grant allocation documents where title deeds have not been issued?</t>
  </si>
  <si>
    <t>If the official documents for grant land allocation are not available with Riyadh Municipality or the Ministry, what legally supported procedures can be taken?</t>
  </si>
  <si>
    <t>Essential to verify the legal basis and official status of allocated grants without title deeds.</t>
  </si>
  <si>
    <t>Critical to confirm the level of flexibility in reassignment and define a fair treatment approach for document holders.</t>
  </si>
  <si>
    <t>Required to define the legal pathway, reduce implementation risk, and determine how to proceed if records are incomplete.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</si>
</sst>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2">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8"/>
      <name val="Carlito"/>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4">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37">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2"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8" borderId="0" xfId="0" applyFill="1"/>
    <xf numFmtId="15" fontId="0" fillId="0" borderId="1" xfId="0" applyNumberFormat="1" applyBorder="1" applyAlignment="1">
      <alignment vertical="center" wrapText="1"/>
    </xf>
    <xf numFmtId="0" fontId="31" fillId="0" borderId="0" xfId="0" applyFont="1"/>
    <xf numFmtId="0" fontId="35"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0" fillId="0" borderId="0" xfId="0" applyFont="1" applyAlignment="1">
      <alignment vertical="top" wrapText="1"/>
    </xf>
    <xf numFmtId="164" fontId="40" fillId="0" borderId="0" xfId="0" applyNumberFormat="1" applyFont="1" applyAlignment="1">
      <alignment vertical="top" wrapText="1"/>
    </xf>
    <xf numFmtId="0" fontId="0" fillId="0" borderId="1" xfId="0" applyBorder="1"/>
    <xf numFmtId="0" fontId="1" fillId="22" borderId="0" xfId="0" applyFont="1" applyFill="1" applyAlignment="1">
      <alignment horizontal="center" vertical="center" wrapText="1"/>
    </xf>
    <xf numFmtId="0" fontId="41"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38" fillId="19" borderId="0" xfId="0" applyFont="1" applyFill="1" applyAlignment="1">
      <alignment horizontal="left" vertical="center" wrapText="1"/>
    </xf>
    <xf numFmtId="0" fontId="37" fillId="19" borderId="0" xfId="0" applyFont="1" applyFill="1" applyAlignment="1">
      <alignment horizontal="left" vertical="center" wrapText="1"/>
    </xf>
    <xf numFmtId="0" fontId="37" fillId="19" borderId="10" xfId="0" applyFont="1" applyFill="1" applyBorder="1" applyAlignment="1">
      <alignment horizontal="left" vertical="center" wrapText="1"/>
    </xf>
    <xf numFmtId="0" fontId="38" fillId="19" borderId="10" xfId="0" applyFont="1" applyFill="1" applyBorder="1" applyAlignment="1">
      <alignment horizontal="left" vertical="center" wrapText="1"/>
    </xf>
    <xf numFmtId="0" fontId="37" fillId="19"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39" fillId="20" borderId="35" xfId="0" applyFont="1" applyFill="1" applyBorder="1" applyAlignment="1">
      <alignment horizontal="center" vertical="center"/>
    </xf>
    <xf numFmtId="0" fontId="33" fillId="20" borderId="0" xfId="0" applyFont="1" applyFill="1" applyAlignment="1">
      <alignment horizontal="center" vertical="center"/>
    </xf>
    <xf numFmtId="0" fontId="33" fillId="20" borderId="10" xfId="0" applyFont="1" applyFill="1" applyBorder="1" applyAlignment="1">
      <alignment horizontal="center" vertical="center"/>
    </xf>
    <xf numFmtId="0" fontId="39" fillId="21" borderId="35" xfId="0" applyFont="1" applyFill="1" applyBorder="1" applyAlignment="1">
      <alignment horizontal="center" vertical="center"/>
    </xf>
    <xf numFmtId="0" fontId="33" fillId="21" borderId="0" xfId="0" applyFont="1" applyFill="1" applyAlignment="1">
      <alignment horizontal="center" vertical="center"/>
    </xf>
    <xf numFmtId="0" fontId="39" fillId="20" borderId="0" xfId="0" applyFont="1" applyFill="1" applyAlignment="1">
      <alignment horizontal="center" vertical="center"/>
    </xf>
    <xf numFmtId="0" fontId="39" fillId="21" borderId="0" xfId="0" applyFont="1" applyFill="1" applyAlignment="1">
      <alignment horizontal="center" vertical="center"/>
    </xf>
    <xf numFmtId="0" fontId="33" fillId="21" borderId="10" xfId="0" applyFont="1" applyFill="1" applyBorder="1" applyAlignment="1">
      <alignment horizontal="center" vertical="center"/>
    </xf>
    <xf numFmtId="0" fontId="37" fillId="19" borderId="14" xfId="0" applyFont="1" applyFill="1" applyBorder="1" applyAlignment="1">
      <alignment horizontal="left" vertical="center" wrapText="1"/>
    </xf>
    <xf numFmtId="0" fontId="37" fillId="19" borderId="15" xfId="0" applyFont="1" applyFill="1" applyBorder="1" applyAlignment="1">
      <alignment horizontal="left" vertical="center" wrapText="1"/>
    </xf>
    <xf numFmtId="0" fontId="37" fillId="19" borderId="16" xfId="0" applyFont="1" applyFill="1" applyBorder="1" applyAlignment="1">
      <alignment horizontal="left" vertical="center" wrapText="1"/>
    </xf>
    <xf numFmtId="0" fontId="38" fillId="19" borderId="14" xfId="0" applyFont="1" applyFill="1" applyBorder="1" applyAlignment="1">
      <alignment horizontal="left" vertical="center" wrapText="1"/>
    </xf>
    <xf numFmtId="0" fontId="32"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1" fillId="2" borderId="0" xfId="0" applyFont="1" applyFill="1" applyAlignment="1">
      <alignment horizontal="left" vertical="center"/>
    </xf>
    <xf numFmtId="0" fontId="3" fillId="3" borderId="0" xfId="0" applyFont="1" applyFill="1" applyAlignment="1">
      <alignment wrapText="1"/>
    </xf>
    <xf numFmtId="0" fontId="5" fillId="2" borderId="0" xfId="0" applyFont="1" applyFill="1" applyAlignment="1">
      <alignment horizontal="left" vertical="center"/>
    </xf>
    <xf numFmtId="0" fontId="6" fillId="3" borderId="0" xfId="0" applyFont="1" applyFill="1" applyAlignment="1">
      <alignment wrapText="1"/>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 fillId="22" borderId="0" xfId="0" applyFont="1" applyFill="1" applyAlignment="1">
      <alignment horizontal="left" vertical="center"/>
    </xf>
    <xf numFmtId="0" fontId="3" fillId="23" borderId="0" xfId="0" applyFont="1" applyFill="1" applyAlignment="1">
      <alignment horizontal="left" wrapText="1"/>
    </xf>
    <xf numFmtId="0" fontId="2" fillId="0" borderId="0" xfId="0" applyFont="1" applyFill="1"/>
    <xf numFmtId="1" fontId="0" fillId="11" borderId="2" xfId="0" applyNumberFormat="1" applyFill="1" applyBorder="1" applyAlignment="1">
      <alignment horizontal="center" vertical="center" wrapText="1"/>
    </xf>
  </cellXfs>
  <cellStyles count="2">
    <cellStyle name="Hyperlink" xfId="1" builtinId="8"/>
    <cellStyle name="Normal" xfId="0" builtinId="0"/>
  </cellStyles>
  <dxfs count="114">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165"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21">
  <autoFilter ref="A4:R21" xr:uid="{00000000-000C-0000-FFFF-FFFF02000000}"/>
  <sortState xmlns:xlrd2="http://schemas.microsoft.com/office/spreadsheetml/2017/richdata2" ref="A5:R21">
    <sortCondition ref="A5:A21"/>
  </sortState>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13"/>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12"/>
    <tableColumn id="10" xr3:uid="{00000000-0010-0000-0200-00000A000000}" name="Information / Decision Required" dataDxfId="111"/>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9">
  <autoFilter ref="A7:Q19" xr:uid="{08AD49F2-D3B3-4A09-900E-B45222471D23}"/>
  <sortState xmlns:xlrd2="http://schemas.microsoft.com/office/spreadsheetml/2017/richdata2" ref="A8:Q19">
    <sortCondition ref="A8:A19"/>
  </sortState>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10" tableBorderDxfId="109">
  <autoFilter ref="A4:R88" xr:uid="{F390DF44-ACBC-4C53-B8F0-30B2CC2B68C4}"/>
  <tableColumns count="18">
    <tableColumn id="1" xr3:uid="{129ACBE2-9539-47B1-9BCA-0A43341184AF}" name="S.No" dataDxfId="108"/>
    <tableColumn id="2" xr3:uid="{436AAEF3-BDA0-42AD-AA07-6419D79FB498}" name="Stakeholder Type" dataDxfId="107"/>
    <tableColumn id="3" xr3:uid="{7B2CD316-144D-4F4A-A087-882CE7C36409}" name="Description" dataDxfId="106"/>
    <tableColumn id="4" xr3:uid="{55D07EA8-A742-4410-8955-7D7D2942184C}" name="Stakeholder " dataDxfId="105"/>
    <tableColumn id="5" xr3:uid="{C4FE85D3-BA00-43AC-9F6C-238E04C31655}" name="Date of Engagement" dataDxfId="104"/>
    <tableColumn id="6" xr3:uid="{1F8FACF1-87E2-4539-9020-41E20CB385A2}" name="Key Point Discussed " dataDxfId="103"/>
    <tableColumn id="7" xr3:uid="{A83B2CFD-0CAB-44A8-A2ED-368BBF86042D}" name="Action Items " dataDxfId="102"/>
    <tableColumn id="8" xr3:uid="{F7F2DD5E-73A1-429B-B711-059E4EFD2349}" name="Minutes of meeting" dataDxfId="101" dataCellStyle="Hyperlink"/>
    <tableColumn id="9" xr3:uid="{41C982DD-18F3-45E7-8762-8814CD257B92}" name="Minutes of meeting2" dataDxfId="100"/>
    <tableColumn id="10" xr3:uid="{B6090D70-B5CE-462E-96D5-92430CC39420}" name="Minutes of meeting3" dataDxfId="99"/>
    <tableColumn id="11" xr3:uid="{5E749DF3-447A-40FE-A1DB-24943B9B95DD}" name="Minutes of meeting4" dataDxfId="98"/>
    <tableColumn id="12" xr3:uid="{EAF551AB-FE38-4C4B-ADDA-09D06BB4D9A9}" name="Minutes of meeting5" dataDxfId="97"/>
    <tableColumn id="13" xr3:uid="{B96867C0-3C3C-4DA8-92C1-29214E02C7C9}" name="Minutes of meeting6" dataDxfId="96"/>
    <tableColumn id="14" xr3:uid="{0D050FF8-B4E5-4E9C-A793-0A0934CE7DDF}" name="Minutes of meeting7" dataDxfId="95"/>
    <tableColumn id="15" xr3:uid="{EB708D58-993F-4E15-B029-759E603CD865}" name="Minutes of meeting8" dataDxfId="94"/>
    <tableColumn id="16" xr3:uid="{94910D10-FAAF-493C-A93F-010A20FD8E5E}" name="follow-up" dataDxfId="93"/>
    <tableColumn id="17" xr3:uid="{8FE7972D-192B-4DB1-97DF-33C086EAD593}" name="their response note " dataDxfId="92"/>
    <tableColumn id="18" xr3:uid="{FC775342-6B72-4BEC-B105-FECF89CB8009}" name="Our Actions" dataDxfId="9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90" dataDxfId="88" headerRowBorderDxfId="89" tableBorderDxfId="87">
  <autoFilter ref="A1:J118" xr:uid="{D5BE6726-0EC1-47EC-B001-371BF574C5A5}"/>
  <tableColumns count="10">
    <tableColumn id="1" xr3:uid="{EFFF3C11-70C2-4A43-866D-22C98F70B83F}" name="Entity / Stakeholder Name" dataDxfId="86"/>
    <tableColumn id="2" xr3:uid="{B7D0FB99-7DD6-44E7-972A-DB2098804D58}" name="S.no" dataDxfId="85"/>
    <tableColumn id="3" xr3:uid="{FC748A50-6728-4B2C-8912-DBD67E2E40B7}" name="Question" dataDxfId="84"/>
    <tableColumn id="4" xr3:uid="{C0086524-14F0-4DE5-AAA2-A27FA1EB5F2F}" name="Responses" dataDxfId="83"/>
    <tableColumn id="5" xr3:uid="{2A9A78E7-BAB9-45E9-873F-BD0EF1881D4A}" name="Date of response" dataDxfId="82"/>
    <tableColumn id="6" xr3:uid="{289AA295-FB4A-43D4-8ECB-767C8032B081}" name="Data Type" dataDxfId="81"/>
    <tableColumn id="7" xr3:uid="{6A345D9A-8C46-4557-96E2-83BD779FFF08}" name="Why It Matters" dataDxfId="80"/>
    <tableColumn id="8" xr3:uid="{35C42730-8D45-4671-A378-401546607670}" name="Required Input" dataDxfId="79"/>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21" t="s">
        <v>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0"/>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Strategy'!B5:B198)</f>
        <v>17</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8"/>
  <sheetViews>
    <sheetView topLeftCell="D9" zoomScale="85" zoomScaleNormal="85" workbookViewId="0">
      <selection activeCell="O19" sqref="O19"/>
    </sheetView>
  </sheetViews>
  <sheetFormatPr defaultRowHeight="14.25"/>
  <cols>
    <col min="1" max="1" width="7.375" bestFit="1" customWidth="1"/>
    <col min="2" max="5" width="33.375" customWidth="1"/>
    <col min="6" max="6" width="8.5" bestFit="1" customWidth="1"/>
    <col min="7" max="7" width="7.5" bestFit="1" customWidth="1"/>
    <col min="8" max="8" width="6.875" bestFit="1" customWidth="1"/>
    <col min="9" max="10" width="33.375" style="17" customWidth="1"/>
    <col min="11" max="18" width="33.375" customWidth="1"/>
  </cols>
  <sheetData>
    <row r="1" spans="1:26">
      <c r="A1" s="219" t="s">
        <v>20</v>
      </c>
      <c r="B1" s="219"/>
      <c r="C1" s="219"/>
      <c r="D1" s="219"/>
      <c r="E1" s="219"/>
      <c r="F1" s="219"/>
      <c r="G1" s="219"/>
      <c r="H1" s="219"/>
      <c r="I1" s="219"/>
      <c r="J1" s="219"/>
      <c r="K1" s="219"/>
      <c r="L1" s="219"/>
      <c r="M1" s="1"/>
      <c r="N1" s="1"/>
      <c r="O1" s="1"/>
      <c r="P1" s="1"/>
      <c r="Q1" s="1"/>
      <c r="R1" s="1"/>
      <c r="S1" s="1"/>
      <c r="T1" s="1"/>
      <c r="U1" s="1"/>
      <c r="V1" s="1"/>
      <c r="W1" s="1"/>
      <c r="X1" s="1"/>
      <c r="Y1" s="1"/>
      <c r="Z1" s="1"/>
    </row>
    <row r="2" spans="1:26">
      <c r="A2" s="222" t="s">
        <v>21</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25.5">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5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63.75">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25.5">
      <c r="A8" s="3">
        <v>4</v>
      </c>
      <c r="B8" s="53" t="s">
        <v>83</v>
      </c>
      <c r="C8" s="5" t="s">
        <v>84</v>
      </c>
      <c r="D8" s="5" t="s">
        <v>85</v>
      </c>
      <c r="E8" s="5" t="s">
        <v>86</v>
      </c>
      <c r="F8" s="3" t="s">
        <v>44</v>
      </c>
      <c r="G8" s="3" t="s">
        <v>44</v>
      </c>
      <c r="H8" s="3" t="s">
        <v>45</v>
      </c>
      <c r="I8" s="16" t="s">
        <v>87</v>
      </c>
      <c r="J8" s="16" t="s">
        <v>88</v>
      </c>
      <c r="K8" s="3" t="s">
        <v>89</v>
      </c>
      <c r="L8" s="3" t="s">
        <v>90</v>
      </c>
      <c r="M8" s="3" t="s">
        <v>91</v>
      </c>
      <c r="N8" s="3" t="s">
        <v>92</v>
      </c>
      <c r="O8" s="3" t="s">
        <v>93</v>
      </c>
      <c r="P8" s="3" t="s">
        <v>94</v>
      </c>
      <c r="Q8" s="3" t="s">
        <v>95</v>
      </c>
      <c r="R8" s="3" t="s">
        <v>96</v>
      </c>
      <c r="S8" s="1"/>
      <c r="T8" s="1"/>
      <c r="U8" s="1"/>
      <c r="V8" s="1"/>
      <c r="W8" s="1"/>
      <c r="X8" s="1"/>
      <c r="Y8" s="1"/>
      <c r="Z8" s="1"/>
    </row>
    <row r="9" spans="1:26" ht="38.25">
      <c r="A9" s="3">
        <v>5</v>
      </c>
      <c r="B9" s="5" t="s">
        <v>97</v>
      </c>
      <c r="C9" s="3" t="s">
        <v>98</v>
      </c>
      <c r="D9" s="3" t="s">
        <v>99</v>
      </c>
      <c r="E9" s="3" t="s">
        <v>100</v>
      </c>
      <c r="F9" s="3" t="s">
        <v>44</v>
      </c>
      <c r="G9" s="3" t="s">
        <v>101</v>
      </c>
      <c r="H9" s="3" t="s">
        <v>44</v>
      </c>
      <c r="I9" s="16" t="s">
        <v>102</v>
      </c>
      <c r="J9" s="16" t="s">
        <v>103</v>
      </c>
      <c r="K9" s="3" t="s">
        <v>104</v>
      </c>
      <c r="L9" s="3" t="s">
        <v>105</v>
      </c>
      <c r="M9" s="3" t="s">
        <v>106</v>
      </c>
      <c r="N9" s="3" t="s">
        <v>107</v>
      </c>
      <c r="O9" s="3" t="s">
        <v>108</v>
      </c>
      <c r="P9" s="3" t="s">
        <v>109</v>
      </c>
      <c r="Q9" s="3" t="s">
        <v>68</v>
      </c>
      <c r="R9" s="3" t="s">
        <v>110</v>
      </c>
      <c r="S9" s="1"/>
      <c r="T9" s="1"/>
      <c r="U9" s="1"/>
      <c r="V9" s="1"/>
      <c r="W9" s="1"/>
      <c r="X9" s="1"/>
      <c r="Y9" s="1"/>
      <c r="Z9" s="1"/>
    </row>
    <row r="10" spans="1:26" ht="38.25">
      <c r="A10" s="3">
        <v>6</v>
      </c>
      <c r="B10" s="5" t="s">
        <v>111</v>
      </c>
      <c r="C10" s="5" t="s">
        <v>112</v>
      </c>
      <c r="D10" s="3" t="s">
        <v>113</v>
      </c>
      <c r="E10" s="3" t="s">
        <v>114</v>
      </c>
      <c r="F10" s="5" t="s">
        <v>44</v>
      </c>
      <c r="G10" s="3" t="s">
        <v>44</v>
      </c>
      <c r="H10" s="3" t="s">
        <v>44</v>
      </c>
      <c r="I10" s="16" t="s">
        <v>115</v>
      </c>
      <c r="J10" s="16" t="s">
        <v>116</v>
      </c>
      <c r="K10" s="3" t="s">
        <v>117</v>
      </c>
      <c r="L10" s="3" t="s">
        <v>105</v>
      </c>
      <c r="M10" s="3" t="s">
        <v>118</v>
      </c>
      <c r="N10" s="3" t="s">
        <v>119</v>
      </c>
      <c r="O10" s="3" t="s">
        <v>120</v>
      </c>
      <c r="P10" s="3" t="s">
        <v>121</v>
      </c>
      <c r="Q10" s="3" t="s">
        <v>95</v>
      </c>
      <c r="R10" s="3" t="s">
        <v>122</v>
      </c>
      <c r="S10" s="1"/>
      <c r="T10" s="1"/>
      <c r="U10" s="1"/>
      <c r="V10" s="1"/>
      <c r="W10" s="1"/>
      <c r="X10" s="1"/>
      <c r="Y10" s="1"/>
      <c r="Z10" s="1"/>
    </row>
    <row r="11" spans="1:26" ht="38.25">
      <c r="A11" s="3">
        <v>7</v>
      </c>
      <c r="B11" s="3" t="s">
        <v>123</v>
      </c>
      <c r="C11" s="3" t="s">
        <v>124</v>
      </c>
      <c r="D11" s="3" t="s">
        <v>125</v>
      </c>
      <c r="E11" s="3" t="s">
        <v>126</v>
      </c>
      <c r="F11" s="3" t="s">
        <v>44</v>
      </c>
      <c r="G11" s="3" t="s">
        <v>101</v>
      </c>
      <c r="H11" s="3" t="s">
        <v>44</v>
      </c>
      <c r="I11" s="16" t="s">
        <v>127</v>
      </c>
      <c r="J11" s="16" t="s">
        <v>128</v>
      </c>
      <c r="K11" s="3" t="s">
        <v>129</v>
      </c>
      <c r="L11" s="3" t="s">
        <v>130</v>
      </c>
      <c r="M11" s="3" t="s">
        <v>131</v>
      </c>
      <c r="N11" s="3" t="s">
        <v>132</v>
      </c>
      <c r="O11" s="3" t="s">
        <v>133</v>
      </c>
      <c r="P11" s="3" t="s">
        <v>134</v>
      </c>
      <c r="Q11" s="3" t="s">
        <v>95</v>
      </c>
      <c r="R11" s="3" t="s">
        <v>135</v>
      </c>
      <c r="S11" s="1"/>
      <c r="T11" s="1"/>
      <c r="U11" s="1"/>
      <c r="V11" s="1"/>
      <c r="W11" s="1"/>
      <c r="X11" s="1"/>
      <c r="Y11" s="1"/>
      <c r="Z11" s="1"/>
    </row>
    <row r="12" spans="1:26" ht="38.25">
      <c r="A12" s="3">
        <v>8</v>
      </c>
      <c r="B12" s="3" t="s">
        <v>136</v>
      </c>
      <c r="C12" s="3" t="s">
        <v>137</v>
      </c>
      <c r="D12" s="3" t="s">
        <v>138</v>
      </c>
      <c r="E12" s="3" t="s">
        <v>139</v>
      </c>
      <c r="F12" s="3" t="s">
        <v>44</v>
      </c>
      <c r="G12" s="5" t="s">
        <v>44</v>
      </c>
      <c r="H12" s="3" t="s">
        <v>45</v>
      </c>
      <c r="I12" s="16" t="s">
        <v>140</v>
      </c>
      <c r="J12" s="16" t="s">
        <v>141</v>
      </c>
      <c r="K12" s="3" t="s">
        <v>142</v>
      </c>
      <c r="L12" s="3" t="s">
        <v>63</v>
      </c>
      <c r="M12" s="3" t="s">
        <v>143</v>
      </c>
      <c r="N12" s="3" t="s">
        <v>144</v>
      </c>
      <c r="O12" s="3" t="s">
        <v>145</v>
      </c>
      <c r="P12" s="3" t="s">
        <v>146</v>
      </c>
      <c r="Q12" s="3" t="s">
        <v>95</v>
      </c>
      <c r="R12" s="3" t="s">
        <v>147</v>
      </c>
      <c r="S12" s="1"/>
      <c r="T12" s="1"/>
      <c r="U12" s="1"/>
      <c r="V12" s="1"/>
      <c r="W12" s="1"/>
      <c r="X12" s="1"/>
      <c r="Y12" s="1"/>
      <c r="Z12" s="1"/>
    </row>
    <row r="13" spans="1:26" ht="38.25">
      <c r="A13" s="3">
        <v>9</v>
      </c>
      <c r="B13" s="3" t="s">
        <v>148</v>
      </c>
      <c r="C13" s="3" t="s">
        <v>149</v>
      </c>
      <c r="D13" s="3" t="s">
        <v>150</v>
      </c>
      <c r="E13" s="3" t="s">
        <v>151</v>
      </c>
      <c r="F13" s="3" t="s">
        <v>44</v>
      </c>
      <c r="G13" s="3" t="s">
        <v>101</v>
      </c>
      <c r="H13" s="3" t="s">
        <v>44</v>
      </c>
      <c r="I13" s="16" t="s">
        <v>152</v>
      </c>
      <c r="J13" s="16" t="s">
        <v>153</v>
      </c>
      <c r="K13" s="3" t="s">
        <v>154</v>
      </c>
      <c r="L13" s="3" t="s">
        <v>155</v>
      </c>
      <c r="M13" s="3" t="s">
        <v>156</v>
      </c>
      <c r="N13" s="3" t="s">
        <v>157</v>
      </c>
      <c r="O13" s="3" t="s">
        <v>158</v>
      </c>
      <c r="P13" s="3" t="s">
        <v>159</v>
      </c>
      <c r="Q13" s="3" t="s">
        <v>160</v>
      </c>
      <c r="R13" s="3" t="s">
        <v>161</v>
      </c>
      <c r="S13" s="1"/>
      <c r="T13" s="1"/>
      <c r="U13" s="1"/>
      <c r="V13" s="1"/>
      <c r="W13" s="1"/>
      <c r="X13" s="1"/>
      <c r="Y13" s="1"/>
      <c r="Z13" s="1"/>
    </row>
    <row r="14" spans="1:26" ht="38.25">
      <c r="A14" s="3">
        <v>10</v>
      </c>
      <c r="B14" s="3" t="s">
        <v>162</v>
      </c>
      <c r="C14" s="3" t="s">
        <v>163</v>
      </c>
      <c r="D14" s="3" t="s">
        <v>164</v>
      </c>
      <c r="E14" s="3" t="s">
        <v>165</v>
      </c>
      <c r="F14" s="3" t="s">
        <v>44</v>
      </c>
      <c r="G14" s="3" t="s">
        <v>101</v>
      </c>
      <c r="H14" s="3" t="s">
        <v>44</v>
      </c>
      <c r="I14" s="16" t="s">
        <v>166</v>
      </c>
      <c r="J14" s="16" t="s">
        <v>167</v>
      </c>
      <c r="K14" s="3" t="s">
        <v>168</v>
      </c>
      <c r="L14" s="3" t="s">
        <v>169</v>
      </c>
      <c r="M14" s="3" t="s">
        <v>170</v>
      </c>
      <c r="N14" s="3" t="s">
        <v>171</v>
      </c>
      <c r="O14" s="3" t="s">
        <v>172</v>
      </c>
      <c r="P14" s="3" t="s">
        <v>173</v>
      </c>
      <c r="Q14" s="3" t="s">
        <v>68</v>
      </c>
      <c r="R14" s="3" t="s">
        <v>174</v>
      </c>
      <c r="S14" s="1"/>
      <c r="T14" s="1"/>
      <c r="U14" s="1"/>
      <c r="V14" s="1"/>
      <c r="W14" s="1"/>
      <c r="X14" s="1"/>
      <c r="Y14" s="1"/>
      <c r="Z14" s="1"/>
    </row>
    <row r="15" spans="1:26" ht="38.25">
      <c r="A15" s="3">
        <v>11</v>
      </c>
      <c r="B15" s="3" t="s">
        <v>175</v>
      </c>
      <c r="C15" s="3" t="s">
        <v>176</v>
      </c>
      <c r="D15" s="3" t="s">
        <v>177</v>
      </c>
      <c r="E15" s="3" t="s">
        <v>178</v>
      </c>
      <c r="F15" s="3" t="s">
        <v>44</v>
      </c>
      <c r="G15" s="3" t="s">
        <v>101</v>
      </c>
      <c r="H15" s="3" t="s">
        <v>44</v>
      </c>
      <c r="I15" s="16" t="s">
        <v>179</v>
      </c>
      <c r="J15" s="16" t="s">
        <v>180</v>
      </c>
      <c r="K15" s="3" t="s">
        <v>181</v>
      </c>
      <c r="L15" s="3" t="s">
        <v>182</v>
      </c>
      <c r="M15" s="3" t="s">
        <v>183</v>
      </c>
      <c r="N15" s="3" t="s">
        <v>92</v>
      </c>
      <c r="O15" s="3" t="s">
        <v>184</v>
      </c>
      <c r="P15" s="3" t="s">
        <v>185</v>
      </c>
      <c r="Q15" s="3" t="s">
        <v>95</v>
      </c>
      <c r="R15" s="3" t="s">
        <v>186</v>
      </c>
      <c r="S15" s="1"/>
      <c r="T15" s="1"/>
      <c r="U15" s="1"/>
      <c r="V15" s="1"/>
      <c r="W15" s="1"/>
      <c r="X15" s="1"/>
      <c r="Y15" s="1"/>
      <c r="Z15" s="1"/>
    </row>
    <row r="16" spans="1:26" ht="25.5">
      <c r="A16" s="3">
        <v>12</v>
      </c>
      <c r="B16" s="3" t="s">
        <v>187</v>
      </c>
      <c r="C16" s="3" t="s">
        <v>188</v>
      </c>
      <c r="D16" s="3" t="s">
        <v>189</v>
      </c>
      <c r="E16" s="3" t="s">
        <v>190</v>
      </c>
      <c r="F16" s="3" t="s">
        <v>44</v>
      </c>
      <c r="G16" s="3" t="s">
        <v>101</v>
      </c>
      <c r="H16" s="3" t="s">
        <v>44</v>
      </c>
      <c r="I16" s="16" t="s">
        <v>191</v>
      </c>
      <c r="J16" s="16" t="s">
        <v>192</v>
      </c>
      <c r="K16" s="3" t="s">
        <v>193</v>
      </c>
      <c r="L16" s="3" t="s">
        <v>194</v>
      </c>
      <c r="M16" s="3" t="s">
        <v>195</v>
      </c>
      <c r="N16" s="3" t="s">
        <v>92</v>
      </c>
      <c r="O16" s="3" t="s">
        <v>196</v>
      </c>
      <c r="P16" s="3" t="s">
        <v>197</v>
      </c>
      <c r="Q16" s="3" t="s">
        <v>95</v>
      </c>
      <c r="R16" s="3" t="s">
        <v>198</v>
      </c>
      <c r="S16" s="1"/>
      <c r="T16" s="1"/>
      <c r="U16" s="1"/>
      <c r="V16" s="1"/>
      <c r="W16" s="1"/>
      <c r="X16" s="1"/>
      <c r="Y16" s="1"/>
      <c r="Z16" s="1"/>
    </row>
    <row r="17" spans="1:26" ht="38.25">
      <c r="A17" s="3">
        <v>13</v>
      </c>
      <c r="B17" s="3" t="s">
        <v>199</v>
      </c>
      <c r="C17" s="3" t="s">
        <v>200</v>
      </c>
      <c r="D17" s="3" t="s">
        <v>201</v>
      </c>
      <c r="E17" s="3" t="s">
        <v>202</v>
      </c>
      <c r="F17" s="3" t="s">
        <v>101</v>
      </c>
      <c r="G17" s="3" t="s">
        <v>44</v>
      </c>
      <c r="H17" s="3" t="s">
        <v>44</v>
      </c>
      <c r="I17" s="16" t="s">
        <v>203</v>
      </c>
      <c r="J17" s="16" t="s">
        <v>204</v>
      </c>
      <c r="K17" s="3" t="s">
        <v>205</v>
      </c>
      <c r="L17" s="3" t="s">
        <v>206</v>
      </c>
      <c r="M17" s="3" t="s">
        <v>207</v>
      </c>
      <c r="N17" s="3" t="s">
        <v>208</v>
      </c>
      <c r="O17" s="3" t="s">
        <v>209</v>
      </c>
      <c r="P17" s="3" t="s">
        <v>210</v>
      </c>
      <c r="Q17" s="3" t="s">
        <v>68</v>
      </c>
      <c r="R17" s="3" t="s">
        <v>211</v>
      </c>
      <c r="S17" s="1"/>
      <c r="T17" s="1"/>
      <c r="U17" s="1"/>
      <c r="V17" s="1"/>
      <c r="W17" s="1"/>
      <c r="X17" s="1"/>
      <c r="Y17" s="1"/>
      <c r="Z17" s="1"/>
    </row>
    <row r="18" spans="1:26" ht="38.25">
      <c r="A18" s="3">
        <v>14</v>
      </c>
      <c r="B18" s="5" t="s">
        <v>212</v>
      </c>
      <c r="C18" s="3" t="s">
        <v>213</v>
      </c>
      <c r="D18" s="3" t="s">
        <v>214</v>
      </c>
      <c r="E18" s="3" t="s">
        <v>215</v>
      </c>
      <c r="F18" s="3" t="s">
        <v>44</v>
      </c>
      <c r="G18" s="3" t="s">
        <v>216</v>
      </c>
      <c r="H18" s="3" t="s">
        <v>101</v>
      </c>
      <c r="I18" s="16" t="s">
        <v>217</v>
      </c>
      <c r="J18" s="16" t="s">
        <v>218</v>
      </c>
      <c r="K18" s="3" t="s">
        <v>219</v>
      </c>
      <c r="L18" s="3" t="s">
        <v>220</v>
      </c>
      <c r="M18" s="3" t="s">
        <v>221</v>
      </c>
      <c r="N18" s="3" t="s">
        <v>222</v>
      </c>
      <c r="O18" s="3" t="s">
        <v>223</v>
      </c>
      <c r="P18" s="3" t="s">
        <v>224</v>
      </c>
      <c r="Q18" s="3" t="s">
        <v>68</v>
      </c>
      <c r="R18" s="3" t="s">
        <v>225</v>
      </c>
      <c r="S18" s="1"/>
      <c r="T18" s="1"/>
      <c r="U18" s="1"/>
      <c r="V18" s="1"/>
      <c r="W18" s="1"/>
      <c r="X18" s="1"/>
      <c r="Y18" s="1"/>
      <c r="Z18" s="1"/>
    </row>
    <row r="19" spans="1:26">
      <c r="A19" s="1">
        <v>15</v>
      </c>
      <c r="B19" s="1" t="s">
        <v>1852</v>
      </c>
      <c r="C19" s="1" t="s">
        <v>1853</v>
      </c>
      <c r="D19" s="1" t="s">
        <v>1853</v>
      </c>
      <c r="E19" s="235"/>
      <c r="F19" s="1" t="s">
        <v>1854</v>
      </c>
      <c r="G19" s="1" t="s">
        <v>1854</v>
      </c>
      <c r="H19" s="1"/>
      <c r="I19" s="15"/>
      <c r="J19" s="15"/>
      <c r="K19" s="1"/>
      <c r="L19" s="1"/>
      <c r="M19" s="1" t="s">
        <v>1855</v>
      </c>
      <c r="N19" s="1"/>
      <c r="O19" s="1"/>
      <c r="P19" s="1"/>
      <c r="Q19" s="1"/>
      <c r="R19" s="1"/>
      <c r="S19" s="1"/>
      <c r="T19" s="1"/>
      <c r="U19" s="1"/>
      <c r="V19" s="1"/>
      <c r="W19" s="1"/>
      <c r="X19" s="1"/>
      <c r="Y19" s="1"/>
      <c r="Z19" s="1"/>
    </row>
    <row r="20" spans="1:26" ht="38.25" customHeight="1">
      <c r="A20" s="3">
        <v>16</v>
      </c>
      <c r="B20" s="5" t="s">
        <v>1878</v>
      </c>
      <c r="C20" s="3" t="s">
        <v>1879</v>
      </c>
      <c r="D20" s="3" t="s">
        <v>1880</v>
      </c>
      <c r="E20" s="3" t="s">
        <v>1881</v>
      </c>
      <c r="F20" s="3" t="s">
        <v>44</v>
      </c>
      <c r="G20" s="3" t="s">
        <v>101</v>
      </c>
      <c r="H20" s="3" t="s">
        <v>44</v>
      </c>
      <c r="I20" s="16" t="s">
        <v>1882</v>
      </c>
      <c r="J20" s="16" t="s">
        <v>1883</v>
      </c>
      <c r="K20" s="3" t="s">
        <v>1884</v>
      </c>
      <c r="L20" s="3" t="s">
        <v>1885</v>
      </c>
      <c r="M20" s="3" t="s">
        <v>1886</v>
      </c>
      <c r="N20" s="3" t="s">
        <v>1887</v>
      </c>
      <c r="O20" s="3" t="s">
        <v>1888</v>
      </c>
      <c r="P20" s="3" t="s">
        <v>1889</v>
      </c>
      <c r="Q20" s="3" t="s">
        <v>68</v>
      </c>
      <c r="R20" s="3" t="s">
        <v>1890</v>
      </c>
      <c r="S20" s="1"/>
      <c r="T20" s="1"/>
      <c r="U20" s="1"/>
      <c r="V20" s="1"/>
      <c r="W20" s="1"/>
      <c r="X20" s="1"/>
      <c r="Y20" s="1"/>
      <c r="Z20" s="1"/>
    </row>
    <row r="21" spans="1:26" ht="38.25" customHeight="1">
      <c r="A21" s="3">
        <v>17</v>
      </c>
      <c r="B21" s="3" t="s">
        <v>1873</v>
      </c>
      <c r="C21" s="3" t="s">
        <v>1891</v>
      </c>
      <c r="D21" s="3" t="s">
        <v>1892</v>
      </c>
      <c r="E21" s="3" t="s">
        <v>1893</v>
      </c>
      <c r="F21" s="3" t="s">
        <v>101</v>
      </c>
      <c r="G21" s="3" t="s">
        <v>44</v>
      </c>
      <c r="H21" s="3" t="s">
        <v>44</v>
      </c>
      <c r="I21" s="16" t="s">
        <v>1894</v>
      </c>
      <c r="J21" s="16" t="s">
        <v>1895</v>
      </c>
      <c r="K21" s="3" t="s">
        <v>1896</v>
      </c>
      <c r="L21" s="3" t="s">
        <v>1897</v>
      </c>
      <c r="M21" s="3" t="s">
        <v>1898</v>
      </c>
      <c r="N21" s="3" t="s">
        <v>1887</v>
      </c>
      <c r="O21" s="3" t="s">
        <v>1876</v>
      </c>
      <c r="P21" s="3" t="s">
        <v>1899</v>
      </c>
      <c r="Q21" s="3" t="s">
        <v>68</v>
      </c>
      <c r="R21" s="3" t="s">
        <v>1890</v>
      </c>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5"/>
      <c r="J297" s="15"/>
      <c r="K297" s="1"/>
      <c r="L297" s="1"/>
      <c r="M297" s="1"/>
      <c r="N297" s="1"/>
      <c r="O297" s="1"/>
      <c r="P297" s="1"/>
      <c r="Q297" s="1"/>
      <c r="R297" s="1"/>
    </row>
    <row r="298" spans="1:26">
      <c r="A298" s="1"/>
      <c r="B298" s="1"/>
      <c r="C298" s="1"/>
      <c r="D298" s="1"/>
      <c r="E298" s="1"/>
      <c r="F298" s="1"/>
      <c r="G298" s="1"/>
      <c r="H298" s="1"/>
      <c r="I298" s="15"/>
      <c r="J298" s="15"/>
      <c r="K298" s="1"/>
      <c r="L298" s="1"/>
      <c r="M298" s="1"/>
      <c r="N298" s="1"/>
      <c r="O298" s="1"/>
      <c r="P298" s="1"/>
      <c r="Q298" s="1"/>
      <c r="R298" s="1"/>
    </row>
  </sheetData>
  <mergeCells count="2">
    <mergeCell ref="A1:L1"/>
    <mergeCell ref="A2:L2"/>
  </mergeCells>
  <conditionalFormatting sqref="H5:H21">
    <cfRule type="expression" dxfId="22" priority="6">
      <formula>H5="Critical"</formula>
    </cfRule>
    <cfRule type="expression" dxfId="21" priority="7">
      <formula>H5="High"</formula>
    </cfRule>
    <cfRule type="expression" dxfId="20" priority="8">
      <formula>H5="Medium"</formula>
    </cfRule>
  </conditionalFormatting>
  <conditionalFormatting sqref="Q5:Q21">
    <cfRule type="expression" dxfId="19" priority="1">
      <formula>ISNUMBER(SEARCH("Delayed",Q5))</formula>
    </cfRule>
    <cfRule type="expression" dxfId="18" priority="2">
      <formula>ISNUMBER(SEARCH("Escalated",Q5))</formula>
    </cfRule>
    <cfRule type="expression" dxfId="17" priority="3">
      <formula>ISNUMBER(SEARCH("Completed",Q5))</formula>
    </cfRule>
    <cfRule type="expression" dxfId="16" priority="4">
      <formula>ISNUMBER(SEARCH("Closed",Q5))</formula>
    </cfRule>
    <cfRule type="expression" dxfId="15" priority="5">
      <formula>ISNUMBER(SEARCH("Information Required",Q5))</formula>
    </cfRule>
  </conditionalFormatting>
  <dataValidations count="2">
    <dataValidation type="list" sqref="Q5:Q21" xr:uid="{00000000-0002-0000-0100-000000000000}">
      <formula1>"Not Started,Planned,Requested,Scheduled,In Progress,Open - verify status,Completed,Closed,Delayed,Escalated,Information Required"</formula1>
    </dataValidation>
    <dataValidation type="list" sqref="H5:H21" xr:uid="{00000000-0002-0000-0100-000001000000}">
      <formula1>"Critical,High,Medium,Low"</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19"/>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226</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227</v>
      </c>
      <c r="B4" s="2" t="s">
        <v>23</v>
      </c>
      <c r="C4" s="2" t="s">
        <v>228</v>
      </c>
      <c r="D4" s="2" t="s">
        <v>229</v>
      </c>
      <c r="E4" s="2" t="s">
        <v>230</v>
      </c>
      <c r="F4" s="2" t="s">
        <v>231</v>
      </c>
      <c r="G4" s="2" t="s">
        <v>232</v>
      </c>
      <c r="H4" s="2" t="s">
        <v>233</v>
      </c>
      <c r="I4" s="2" t="s">
        <v>234</v>
      </c>
      <c r="J4" s="2" t="s">
        <v>235</v>
      </c>
      <c r="K4" s="2" t="s">
        <v>236</v>
      </c>
      <c r="L4" s="2" t="s">
        <v>237</v>
      </c>
      <c r="M4" s="2" t="s">
        <v>238</v>
      </c>
      <c r="N4" s="1"/>
      <c r="O4" s="1"/>
      <c r="P4" s="1"/>
      <c r="Q4" s="1"/>
      <c r="R4" s="1"/>
      <c r="S4" s="1"/>
      <c r="T4" s="1"/>
      <c r="U4" s="1"/>
      <c r="V4" s="1"/>
      <c r="W4" s="1"/>
      <c r="X4" s="1"/>
      <c r="Y4" s="1"/>
      <c r="Z4" s="1"/>
    </row>
    <row r="5" spans="1:26" ht="30" customHeight="1">
      <c r="A5" s="3">
        <v>1</v>
      </c>
      <c r="B5" s="3" t="s">
        <v>239</v>
      </c>
      <c r="C5" s="3" t="s">
        <v>240</v>
      </c>
      <c r="D5" s="4">
        <v>46217</v>
      </c>
      <c r="E5" s="3" t="s">
        <v>241</v>
      </c>
      <c r="F5" s="3" t="s">
        <v>242</v>
      </c>
      <c r="G5" s="3" t="s">
        <v>243</v>
      </c>
      <c r="H5" s="3" t="s">
        <v>244</v>
      </c>
      <c r="I5" s="3" t="s">
        <v>245</v>
      </c>
      <c r="J5" s="3" t="s">
        <v>246</v>
      </c>
      <c r="K5" s="3" t="s">
        <v>68</v>
      </c>
      <c r="L5" s="4">
        <v>46219</v>
      </c>
      <c r="M5" s="3" t="s">
        <v>247</v>
      </c>
      <c r="N5" s="1"/>
      <c r="O5" s="1"/>
      <c r="P5" s="1"/>
      <c r="Q5" s="1"/>
      <c r="R5" s="1"/>
      <c r="S5" s="1"/>
      <c r="T5" s="1"/>
      <c r="U5" s="1"/>
      <c r="V5" s="1"/>
      <c r="W5" s="1"/>
      <c r="X5" s="1"/>
      <c r="Y5" s="1"/>
      <c r="Z5" s="1"/>
    </row>
    <row r="6" spans="1:26" ht="30" customHeight="1">
      <c r="A6" s="3">
        <v>2</v>
      </c>
      <c r="B6" s="3" t="s">
        <v>56</v>
      </c>
      <c r="C6" s="3" t="s">
        <v>248</v>
      </c>
      <c r="D6" s="4">
        <v>46219</v>
      </c>
      <c r="E6" s="3" t="s">
        <v>65</v>
      </c>
      <c r="F6" s="3" t="s">
        <v>249</v>
      </c>
      <c r="G6" s="3" t="s">
        <v>250</v>
      </c>
      <c r="H6" s="3" t="s">
        <v>251</v>
      </c>
      <c r="I6" s="3" t="s">
        <v>63</v>
      </c>
      <c r="J6" s="3" t="s">
        <v>246</v>
      </c>
      <c r="K6" s="3" t="s">
        <v>68</v>
      </c>
      <c r="L6" s="4">
        <v>46224</v>
      </c>
      <c r="M6" s="3" t="s">
        <v>252</v>
      </c>
      <c r="N6" s="1"/>
      <c r="O6" s="1"/>
      <c r="P6" s="1"/>
      <c r="Q6" s="1"/>
      <c r="R6" s="1"/>
      <c r="S6" s="1"/>
      <c r="T6" s="1"/>
      <c r="U6" s="1"/>
      <c r="V6" s="1"/>
      <c r="W6" s="1"/>
      <c r="X6" s="1"/>
      <c r="Y6" s="1"/>
      <c r="Z6" s="1"/>
    </row>
    <row r="7" spans="1:26" ht="30" customHeight="1">
      <c r="A7" s="3">
        <v>3</v>
      </c>
      <c r="B7" s="3" t="s">
        <v>253</v>
      </c>
      <c r="C7" s="3" t="s">
        <v>254</v>
      </c>
      <c r="D7" s="4">
        <v>46223</v>
      </c>
      <c r="E7" s="3" t="s">
        <v>107</v>
      </c>
      <c r="F7" s="3" t="s">
        <v>255</v>
      </c>
      <c r="G7" s="3" t="s">
        <v>256</v>
      </c>
      <c r="H7" s="3" t="s">
        <v>257</v>
      </c>
      <c r="I7" s="3" t="s">
        <v>77</v>
      </c>
      <c r="J7" s="3" t="s">
        <v>77</v>
      </c>
      <c r="K7" s="3" t="s">
        <v>68</v>
      </c>
      <c r="L7" s="4">
        <v>46230</v>
      </c>
      <c r="M7" s="3" t="s">
        <v>258</v>
      </c>
      <c r="N7" s="1"/>
      <c r="O7" s="1"/>
      <c r="P7" s="1"/>
      <c r="Q7" s="1"/>
      <c r="R7" s="1"/>
      <c r="S7" s="1"/>
      <c r="T7" s="1"/>
      <c r="U7" s="1"/>
      <c r="V7" s="1"/>
      <c r="W7" s="1"/>
      <c r="X7" s="1"/>
      <c r="Y7" s="1"/>
      <c r="Z7" s="1"/>
    </row>
    <row r="8" spans="1:26" ht="30" customHeight="1">
      <c r="A8" s="3">
        <v>4</v>
      </c>
      <c r="B8" s="3" t="s">
        <v>259</v>
      </c>
      <c r="C8" s="3" t="s">
        <v>260</v>
      </c>
      <c r="D8" s="4">
        <v>46225</v>
      </c>
      <c r="E8" s="3" t="s">
        <v>261</v>
      </c>
      <c r="F8" s="3" t="s">
        <v>262</v>
      </c>
      <c r="G8" s="3" t="s">
        <v>263</v>
      </c>
      <c r="H8" s="3" t="s">
        <v>264</v>
      </c>
      <c r="I8" s="3" t="s">
        <v>90</v>
      </c>
      <c r="J8" s="3" t="s">
        <v>90</v>
      </c>
      <c r="K8" s="3" t="s">
        <v>68</v>
      </c>
      <c r="L8" s="4">
        <v>46232</v>
      </c>
      <c r="M8" s="3" t="s">
        <v>265</v>
      </c>
      <c r="N8" s="1"/>
      <c r="O8" s="1"/>
      <c r="P8" s="1"/>
      <c r="Q8" s="1"/>
      <c r="R8" s="1"/>
      <c r="S8" s="1"/>
      <c r="T8" s="1"/>
      <c r="U8" s="1"/>
      <c r="V8" s="1"/>
      <c r="W8" s="1"/>
      <c r="X8" s="1"/>
      <c r="Y8" s="1"/>
      <c r="Z8" s="1"/>
    </row>
    <row r="9" spans="1:26" ht="30" customHeight="1">
      <c r="A9" s="3">
        <v>5</v>
      </c>
      <c r="B9" s="3" t="s">
        <v>266</v>
      </c>
      <c r="C9" s="3" t="s">
        <v>267</v>
      </c>
      <c r="D9" s="4">
        <v>46229</v>
      </c>
      <c r="E9" s="3" t="s">
        <v>268</v>
      </c>
      <c r="F9" s="3" t="s">
        <v>269</v>
      </c>
      <c r="G9" s="3" t="s">
        <v>270</v>
      </c>
      <c r="H9" s="3" t="s">
        <v>271</v>
      </c>
      <c r="I9" s="3" t="s">
        <v>105</v>
      </c>
      <c r="J9" s="3" t="s">
        <v>105</v>
      </c>
      <c r="K9" s="3" t="s">
        <v>68</v>
      </c>
      <c r="L9" s="4">
        <v>46236</v>
      </c>
      <c r="M9" s="3" t="s">
        <v>272</v>
      </c>
      <c r="N9" s="1"/>
      <c r="O9" s="1"/>
      <c r="P9" s="1"/>
      <c r="Q9" s="1"/>
      <c r="R9" s="1"/>
      <c r="S9" s="1"/>
      <c r="T9" s="1"/>
      <c r="U9" s="1"/>
      <c r="V9" s="1"/>
      <c r="W9" s="1"/>
      <c r="X9" s="1"/>
      <c r="Y9" s="1"/>
      <c r="Z9" s="1"/>
    </row>
    <row r="10" spans="1:26" ht="30" customHeight="1">
      <c r="A10" s="3">
        <v>6</v>
      </c>
      <c r="B10" s="3" t="s">
        <v>273</v>
      </c>
      <c r="C10" s="3" t="s">
        <v>274</v>
      </c>
      <c r="D10" s="4">
        <v>46231</v>
      </c>
      <c r="E10" s="3" t="s">
        <v>275</v>
      </c>
      <c r="F10" s="3" t="s">
        <v>276</v>
      </c>
      <c r="G10" s="3" t="s">
        <v>277</v>
      </c>
      <c r="H10" s="3" t="s">
        <v>278</v>
      </c>
      <c r="I10" s="3" t="s">
        <v>105</v>
      </c>
      <c r="J10" s="3" t="s">
        <v>246</v>
      </c>
      <c r="K10" s="3" t="s">
        <v>68</v>
      </c>
      <c r="L10" s="4">
        <v>46238</v>
      </c>
      <c r="M10" s="3" t="s">
        <v>279</v>
      </c>
      <c r="N10" s="1"/>
      <c r="O10" s="1"/>
      <c r="P10" s="1"/>
      <c r="Q10" s="1"/>
      <c r="R10" s="1"/>
      <c r="S10" s="1"/>
      <c r="T10" s="1"/>
      <c r="U10" s="1"/>
      <c r="V10" s="1"/>
      <c r="W10" s="1"/>
      <c r="X10" s="1"/>
      <c r="Y10" s="1"/>
      <c r="Z10" s="1"/>
    </row>
    <row r="11" spans="1:26" ht="30" customHeight="1">
      <c r="A11" s="3">
        <v>7</v>
      </c>
      <c r="B11" s="3" t="s">
        <v>136</v>
      </c>
      <c r="C11" s="3" t="s">
        <v>280</v>
      </c>
      <c r="D11" s="4">
        <v>46233</v>
      </c>
      <c r="E11" s="3" t="s">
        <v>144</v>
      </c>
      <c r="F11" s="3" t="s">
        <v>281</v>
      </c>
      <c r="G11" s="3" t="s">
        <v>282</v>
      </c>
      <c r="H11" s="3" t="s">
        <v>283</v>
      </c>
      <c r="I11" s="3" t="s">
        <v>63</v>
      </c>
      <c r="J11" s="3" t="s">
        <v>63</v>
      </c>
      <c r="K11" s="3" t="s">
        <v>68</v>
      </c>
      <c r="L11" s="4">
        <v>46240</v>
      </c>
      <c r="M11" s="3" t="s">
        <v>284</v>
      </c>
      <c r="N11" s="1"/>
      <c r="O11" s="1"/>
      <c r="P11" s="1"/>
      <c r="Q11" s="1"/>
      <c r="R11" s="1"/>
      <c r="S11" s="1"/>
      <c r="T11" s="1"/>
      <c r="U11" s="1"/>
      <c r="V11" s="1"/>
      <c r="W11" s="1"/>
      <c r="X11" s="1"/>
      <c r="Y11" s="1"/>
      <c r="Z11" s="1"/>
    </row>
    <row r="12" spans="1:26" ht="30" customHeight="1">
      <c r="A12" s="3">
        <v>8</v>
      </c>
      <c r="B12" s="3" t="s">
        <v>285</v>
      </c>
      <c r="C12" s="3" t="s">
        <v>286</v>
      </c>
      <c r="D12" s="4">
        <v>46237</v>
      </c>
      <c r="E12" s="3" t="s">
        <v>287</v>
      </c>
      <c r="F12" s="3" t="s">
        <v>288</v>
      </c>
      <c r="G12" s="3" t="s">
        <v>289</v>
      </c>
      <c r="H12" s="3" t="s">
        <v>290</v>
      </c>
      <c r="I12" s="3" t="s">
        <v>130</v>
      </c>
      <c r="J12" s="3" t="s">
        <v>130</v>
      </c>
      <c r="K12" s="3" t="s">
        <v>68</v>
      </c>
      <c r="L12" s="4">
        <v>46244</v>
      </c>
      <c r="M12" s="3" t="s">
        <v>291</v>
      </c>
      <c r="N12" s="1"/>
      <c r="O12" s="1"/>
      <c r="P12" s="1"/>
      <c r="Q12" s="1"/>
      <c r="R12" s="1"/>
      <c r="S12" s="1"/>
      <c r="T12" s="1"/>
      <c r="U12" s="1"/>
      <c r="V12" s="1"/>
      <c r="W12" s="1"/>
      <c r="X12" s="1"/>
      <c r="Y12" s="1"/>
      <c r="Z12" s="1"/>
    </row>
    <row r="13" spans="1:26" ht="30" customHeight="1">
      <c r="A13" s="3">
        <v>9</v>
      </c>
      <c r="B13" s="3" t="s">
        <v>148</v>
      </c>
      <c r="C13" s="3" t="s">
        <v>292</v>
      </c>
      <c r="D13" s="4">
        <v>46239</v>
      </c>
      <c r="E13" s="3" t="s">
        <v>222</v>
      </c>
      <c r="F13" s="3" t="s">
        <v>293</v>
      </c>
      <c r="G13" s="3" t="s">
        <v>294</v>
      </c>
      <c r="H13" s="3" t="s">
        <v>295</v>
      </c>
      <c r="I13" s="3" t="s">
        <v>63</v>
      </c>
      <c r="J13" s="3" t="s">
        <v>105</v>
      </c>
      <c r="K13" s="3" t="s">
        <v>68</v>
      </c>
      <c r="L13" s="4">
        <v>46246</v>
      </c>
      <c r="M13" s="3" t="s">
        <v>296</v>
      </c>
      <c r="N13" s="1"/>
      <c r="O13" s="1"/>
      <c r="P13" s="1"/>
      <c r="Q13" s="1"/>
      <c r="R13" s="1"/>
      <c r="S13" s="1"/>
      <c r="T13" s="1"/>
      <c r="U13" s="1"/>
      <c r="V13" s="1"/>
      <c r="W13" s="1"/>
      <c r="X13" s="1"/>
      <c r="Y13" s="1"/>
      <c r="Z13" s="1"/>
    </row>
    <row r="14" spans="1:26" ht="30" customHeight="1">
      <c r="A14" s="3">
        <v>10</v>
      </c>
      <c r="B14" s="3" t="s">
        <v>297</v>
      </c>
      <c r="C14" s="3" t="s">
        <v>298</v>
      </c>
      <c r="D14" s="4">
        <v>46243</v>
      </c>
      <c r="E14" s="3" t="s">
        <v>171</v>
      </c>
      <c r="F14" s="3" t="s">
        <v>299</v>
      </c>
      <c r="G14" s="3" t="s">
        <v>300</v>
      </c>
      <c r="H14" s="3" t="s">
        <v>301</v>
      </c>
      <c r="I14" s="3" t="s">
        <v>169</v>
      </c>
      <c r="J14" s="3" t="s">
        <v>169</v>
      </c>
      <c r="K14" s="3" t="s">
        <v>68</v>
      </c>
      <c r="L14" s="4">
        <v>46250</v>
      </c>
      <c r="M14" s="3" t="s">
        <v>302</v>
      </c>
      <c r="N14" s="1"/>
      <c r="O14" s="1"/>
      <c r="P14" s="1"/>
      <c r="Q14" s="1"/>
      <c r="R14" s="1"/>
      <c r="S14" s="1"/>
      <c r="T14" s="1"/>
      <c r="U14" s="1"/>
      <c r="V14" s="1"/>
      <c r="W14" s="1"/>
      <c r="X14" s="1"/>
      <c r="Y14" s="1"/>
      <c r="Z14" s="1"/>
    </row>
    <row r="15" spans="1:26" ht="30" customHeight="1">
      <c r="A15" s="3">
        <v>11</v>
      </c>
      <c r="B15" s="3" t="s">
        <v>303</v>
      </c>
      <c r="C15" s="3" t="s">
        <v>304</v>
      </c>
      <c r="D15" s="4">
        <v>46245</v>
      </c>
      <c r="E15" s="3" t="s">
        <v>305</v>
      </c>
      <c r="F15" s="3" t="s">
        <v>306</v>
      </c>
      <c r="G15" s="3" t="s">
        <v>307</v>
      </c>
      <c r="H15" s="3" t="s">
        <v>308</v>
      </c>
      <c r="I15" s="3" t="s">
        <v>309</v>
      </c>
      <c r="J15" s="3" t="s">
        <v>309</v>
      </c>
      <c r="K15" s="3" t="s">
        <v>68</v>
      </c>
      <c r="L15" s="4">
        <v>46252</v>
      </c>
      <c r="M15" s="3" t="s">
        <v>310</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27" t="s">
        <v>311</v>
      </c>
      <c r="B17" s="228"/>
      <c r="C17" s="228"/>
      <c r="D17" s="228"/>
      <c r="E17" s="228"/>
      <c r="F17" s="228"/>
      <c r="G17" s="228"/>
      <c r="H17" s="228"/>
      <c r="I17" s="228"/>
      <c r="J17" s="228"/>
      <c r="K17" s="228"/>
      <c r="L17" s="228"/>
      <c r="M17" s="228"/>
      <c r="N17" s="228"/>
      <c r="O17" s="228"/>
      <c r="P17" s="228"/>
      <c r="Q17" s="228"/>
      <c r="R17" s="1"/>
      <c r="S17" s="1"/>
      <c r="T17" s="1"/>
      <c r="U17" s="1"/>
      <c r="V17" s="1"/>
      <c r="W17" s="1"/>
      <c r="X17" s="1"/>
      <c r="Y17" s="1"/>
      <c r="Z17" s="1"/>
    </row>
    <row r="18" spans="1:26" hidden="1">
      <c r="A18" s="229" t="s">
        <v>312</v>
      </c>
      <c r="B18" s="228"/>
      <c r="C18" s="228"/>
      <c r="D18" s="228"/>
      <c r="E18" s="228"/>
      <c r="F18" s="228"/>
      <c r="G18" s="228"/>
      <c r="H18" s="228"/>
      <c r="I18" s="228"/>
      <c r="J18" s="228"/>
      <c r="K18" s="228"/>
      <c r="L18" s="228"/>
      <c r="M18" s="228"/>
      <c r="N18" s="228"/>
      <c r="O18" s="228"/>
      <c r="P18" s="228"/>
      <c r="Q18" s="228"/>
      <c r="R18" s="1"/>
      <c r="S18" s="1"/>
      <c r="T18" s="1"/>
      <c r="U18" s="1"/>
      <c r="V18" s="1"/>
      <c r="W18" s="1"/>
      <c r="X18" s="1"/>
      <c r="Y18" s="1"/>
      <c r="Z18" s="1"/>
    </row>
    <row r="19" spans="1:26" hidden="1">
      <c r="A19" s="230" t="s">
        <v>313</v>
      </c>
      <c r="B19" s="228"/>
      <c r="C19" s="228"/>
      <c r="D19" s="228"/>
      <c r="E19" s="228"/>
      <c r="F19" s="228"/>
      <c r="G19" s="228"/>
      <c r="H19" s="228"/>
      <c r="I19" s="228"/>
      <c r="J19" s="228"/>
      <c r="K19" s="228"/>
      <c r="L19" s="228"/>
      <c r="M19" s="228"/>
      <c r="N19" s="228"/>
      <c r="O19" s="228"/>
      <c r="P19" s="228"/>
      <c r="Q19" s="228"/>
      <c r="R19" s="1"/>
      <c r="S19" s="1"/>
      <c r="T19" s="1"/>
      <c r="U19" s="1"/>
      <c r="V19" s="1"/>
      <c r="W19" s="1"/>
      <c r="X19" s="1"/>
      <c r="Y19" s="1"/>
      <c r="Z19" s="1"/>
    </row>
    <row r="20" spans="1:26" hidden="1">
      <c r="A20" s="223" t="s">
        <v>314</v>
      </c>
      <c r="B20" s="224"/>
      <c r="C20" s="224"/>
      <c r="D20" s="225"/>
      <c r="F20" s="223" t="s">
        <v>315</v>
      </c>
      <c r="G20" s="224"/>
      <c r="H20" s="224"/>
      <c r="I20" s="225"/>
      <c r="K20" s="224"/>
      <c r="L20" s="225"/>
      <c r="N20" s="223" t="s">
        <v>316</v>
      </c>
      <c r="O20" s="224"/>
      <c r="P20" s="224"/>
      <c r="Q20" s="225"/>
      <c r="R20" s="1"/>
      <c r="S20" s="1"/>
      <c r="T20" s="1"/>
      <c r="U20" s="1"/>
      <c r="V20" s="1"/>
      <c r="W20" s="1"/>
      <c r="X20" s="1"/>
      <c r="Y20" s="1"/>
      <c r="Z20" s="1"/>
    </row>
    <row r="21" spans="1:26" hidden="1">
      <c r="A21" s="226">
        <f>COUNTA($D$8:$D$17)</f>
        <v>8</v>
      </c>
      <c r="B21" s="224"/>
      <c r="C21" s="224"/>
      <c r="D21" s="225"/>
      <c r="F21" s="226">
        <v>3</v>
      </c>
      <c r="G21" s="224"/>
      <c r="H21" s="224"/>
      <c r="I21" s="225"/>
      <c r="K21" s="224"/>
      <c r="L21" s="225"/>
      <c r="N21" s="226">
        <v>12</v>
      </c>
      <c r="O21" s="224"/>
      <c r="P21" s="224"/>
      <c r="Q21" s="225"/>
      <c r="R21" s="1"/>
      <c r="S21" s="1"/>
      <c r="T21" s="1"/>
      <c r="U21" s="1"/>
      <c r="V21" s="1"/>
      <c r="W21" s="1"/>
      <c r="X21" s="1"/>
      <c r="Y21" s="1"/>
      <c r="Z21" s="1"/>
    </row>
    <row r="22" spans="1:26" hidden="1">
      <c r="R22" s="1"/>
      <c r="S22" s="1"/>
      <c r="T22" s="1"/>
      <c r="U22" s="1"/>
      <c r="V22" s="1"/>
      <c r="W22" s="1"/>
      <c r="X22" s="1"/>
      <c r="Y22" s="1"/>
      <c r="Z22" s="1"/>
    </row>
    <row r="23" spans="1:26" ht="40.5" hidden="1">
      <c r="A23" s="20" t="s">
        <v>317</v>
      </c>
      <c r="B23" s="20" t="s">
        <v>29</v>
      </c>
      <c r="C23" s="20" t="s">
        <v>318</v>
      </c>
      <c r="D23" s="20" t="s">
        <v>319</v>
      </c>
      <c r="E23" s="20" t="s">
        <v>320</v>
      </c>
      <c r="F23" s="20" t="s">
        <v>321</v>
      </c>
      <c r="G23" s="20" t="s">
        <v>322</v>
      </c>
      <c r="H23" s="20" t="s">
        <v>323</v>
      </c>
      <c r="I23" s="20" t="s">
        <v>324</v>
      </c>
      <c r="J23" s="20" t="s">
        <v>325</v>
      </c>
      <c r="K23" s="20" t="s">
        <v>326</v>
      </c>
      <c r="L23" s="20" t="s">
        <v>327</v>
      </c>
      <c r="M23" s="20" t="s">
        <v>328</v>
      </c>
      <c r="N23" s="20" t="s">
        <v>329</v>
      </c>
      <c r="O23" s="20" t="s">
        <v>236</v>
      </c>
      <c r="P23" s="20" t="s">
        <v>330</v>
      </c>
      <c r="Q23" s="20" t="s">
        <v>331</v>
      </c>
      <c r="R23" s="1"/>
      <c r="S23" s="1"/>
      <c r="T23" s="1"/>
      <c r="U23" s="1"/>
      <c r="V23" s="1"/>
      <c r="W23" s="1"/>
      <c r="X23" s="1"/>
      <c r="Y23" s="1"/>
      <c r="Z23" s="1"/>
    </row>
    <row r="24" spans="1:26" ht="81" hidden="1">
      <c r="A24" s="21">
        <v>1</v>
      </c>
      <c r="B24" s="22" t="s">
        <v>44</v>
      </c>
      <c r="C24" s="22" t="s">
        <v>332</v>
      </c>
      <c r="D24" s="23" t="s">
        <v>333</v>
      </c>
      <c r="E24" s="23" t="s">
        <v>334</v>
      </c>
      <c r="F24" s="23" t="s">
        <v>335</v>
      </c>
      <c r="G24" s="23" t="s">
        <v>336</v>
      </c>
      <c r="H24" s="23" t="s">
        <v>337</v>
      </c>
      <c r="I24" s="22" t="s">
        <v>338</v>
      </c>
      <c r="J24" s="24">
        <v>46217</v>
      </c>
      <c r="K24" s="25">
        <v>46215</v>
      </c>
      <c r="L24" s="25">
        <f t="shared" ref="L24:L33" si="0">IF(ISBLANK($J24),"",WORKDAY($J24,-1))</f>
        <v>46216</v>
      </c>
      <c r="M24" s="25">
        <f t="shared" ref="M24:M33" si="1">IF(ISBLANK($J24),"",WORKDAY($J24,1))</f>
        <v>46218</v>
      </c>
      <c r="N24" s="26" t="s">
        <v>339</v>
      </c>
      <c r="O24" s="26" t="s">
        <v>340</v>
      </c>
      <c r="P24" s="21" t="s">
        <v>341</v>
      </c>
      <c r="Q24" s="23" t="s">
        <v>342</v>
      </c>
      <c r="R24" s="1"/>
      <c r="S24" s="1"/>
      <c r="T24" s="1"/>
      <c r="U24" s="1"/>
      <c r="V24" s="1"/>
      <c r="W24" s="1"/>
      <c r="X24" s="1"/>
      <c r="Y24" s="1"/>
      <c r="Z24" s="1"/>
    </row>
    <row r="25" spans="1:26" ht="94.5" hidden="1">
      <c r="A25" s="21">
        <v>6</v>
      </c>
      <c r="B25" s="22" t="s">
        <v>44</v>
      </c>
      <c r="C25" s="22" t="s">
        <v>343</v>
      </c>
      <c r="D25" s="23" t="s">
        <v>344</v>
      </c>
      <c r="E25" s="23" t="s">
        <v>334</v>
      </c>
      <c r="F25" s="23" t="s">
        <v>345</v>
      </c>
      <c r="G25" s="23" t="s">
        <v>346</v>
      </c>
      <c r="H25" s="23" t="s">
        <v>347</v>
      </c>
      <c r="I25" s="22" t="s">
        <v>348</v>
      </c>
      <c r="J25" s="24">
        <v>46217</v>
      </c>
      <c r="K25" s="25">
        <v>46215</v>
      </c>
      <c r="L25" s="25">
        <f>IF(ISBLANK($J25),"",WORKDAY($J25,-1))</f>
        <v>46216</v>
      </c>
      <c r="M25" s="25">
        <f>IF(ISBLANK($J25),"",WORKDAY($J25,1))</f>
        <v>46218</v>
      </c>
      <c r="N25" s="26" t="s">
        <v>339</v>
      </c>
      <c r="O25" s="26" t="s">
        <v>349</v>
      </c>
      <c r="P25" s="21" t="s">
        <v>341</v>
      </c>
      <c r="Q25" s="23" t="s">
        <v>350</v>
      </c>
      <c r="R25" s="1"/>
      <c r="S25" s="1"/>
      <c r="T25" s="1"/>
      <c r="U25" s="1"/>
      <c r="V25" s="1"/>
      <c r="W25" s="1"/>
      <c r="X25" s="1"/>
      <c r="Y25" s="1"/>
      <c r="Z25" s="1"/>
    </row>
    <row r="26" spans="1:26" ht="108" hidden="1">
      <c r="A26" s="27">
        <v>2</v>
      </c>
      <c r="B26" s="28" t="s">
        <v>44</v>
      </c>
      <c r="C26" s="28" t="s">
        <v>332</v>
      </c>
      <c r="D26" s="29" t="s">
        <v>351</v>
      </c>
      <c r="E26" s="29" t="s">
        <v>352</v>
      </c>
      <c r="F26" s="29" t="s">
        <v>353</v>
      </c>
      <c r="G26" s="29" t="s">
        <v>354</v>
      </c>
      <c r="H26" s="29" t="s">
        <v>355</v>
      </c>
      <c r="I26" s="28" t="s">
        <v>356</v>
      </c>
      <c r="J26" s="30">
        <v>46223</v>
      </c>
      <c r="K26" s="31">
        <v>46219</v>
      </c>
      <c r="L26" s="31">
        <f t="shared" si="0"/>
        <v>46220</v>
      </c>
      <c r="M26" s="31">
        <f t="shared" si="1"/>
        <v>46224</v>
      </c>
      <c r="N26" s="32" t="s">
        <v>339</v>
      </c>
      <c r="O26" s="32" t="s">
        <v>349</v>
      </c>
      <c r="P26" s="27" t="s">
        <v>341</v>
      </c>
      <c r="Q26" s="29" t="s">
        <v>357</v>
      </c>
      <c r="R26" s="1"/>
      <c r="S26" s="1"/>
      <c r="T26" s="1"/>
      <c r="U26" s="1"/>
      <c r="V26" s="1"/>
      <c r="W26" s="1"/>
      <c r="X26" s="1"/>
      <c r="Y26" s="1"/>
      <c r="Z26" s="1"/>
    </row>
    <row r="27" spans="1:26" ht="108" hidden="1">
      <c r="A27" s="27">
        <v>3</v>
      </c>
      <c r="B27" s="33" t="s">
        <v>101</v>
      </c>
      <c r="C27" s="28" t="s">
        <v>332</v>
      </c>
      <c r="D27" s="29" t="s">
        <v>358</v>
      </c>
      <c r="E27" s="29" t="s">
        <v>359</v>
      </c>
      <c r="F27" s="29" t="s">
        <v>360</v>
      </c>
      <c r="G27" s="29" t="s">
        <v>361</v>
      </c>
      <c r="H27" s="29" t="s">
        <v>362</v>
      </c>
      <c r="I27" s="28" t="s">
        <v>356</v>
      </c>
      <c r="J27" s="30">
        <v>46223</v>
      </c>
      <c r="K27" s="31">
        <v>46219</v>
      </c>
      <c r="L27" s="31">
        <f>IF(ISBLANK($J27),"",WORKDAY($J27,-1))</f>
        <v>46220</v>
      </c>
      <c r="M27" s="31">
        <f>IF(ISBLANK($J27),"",WORKDAY($J27,1))</f>
        <v>46224</v>
      </c>
      <c r="N27" s="32" t="s">
        <v>339</v>
      </c>
      <c r="O27" s="32" t="s">
        <v>349</v>
      </c>
      <c r="P27" s="27" t="s">
        <v>341</v>
      </c>
      <c r="Q27" s="29" t="s">
        <v>363</v>
      </c>
      <c r="R27" s="1"/>
      <c r="S27" s="1"/>
      <c r="T27" s="1"/>
      <c r="U27" s="1"/>
      <c r="V27" s="1"/>
      <c r="W27" s="1"/>
      <c r="X27" s="1"/>
      <c r="Y27" s="1"/>
      <c r="Z27" s="1"/>
    </row>
    <row r="28" spans="1:26" ht="94.5" hidden="1">
      <c r="A28" s="34">
        <v>4</v>
      </c>
      <c r="B28" s="33" t="s">
        <v>101</v>
      </c>
      <c r="C28" s="35" t="s">
        <v>332</v>
      </c>
      <c r="D28" s="36" t="s">
        <v>364</v>
      </c>
      <c r="E28" s="36" t="s">
        <v>365</v>
      </c>
      <c r="F28" s="36" t="s">
        <v>366</v>
      </c>
      <c r="G28" s="36" t="s">
        <v>367</v>
      </c>
      <c r="H28" s="36" t="s">
        <v>368</v>
      </c>
      <c r="I28" s="35" t="s">
        <v>369</v>
      </c>
      <c r="J28" s="30">
        <v>46223</v>
      </c>
      <c r="K28" s="31">
        <v>46219</v>
      </c>
      <c r="L28" s="37">
        <f t="shared" si="0"/>
        <v>46220</v>
      </c>
      <c r="M28" s="37">
        <f t="shared" si="1"/>
        <v>46224</v>
      </c>
      <c r="N28" s="32" t="s">
        <v>339</v>
      </c>
      <c r="O28" s="38" t="s">
        <v>349</v>
      </c>
      <c r="P28" s="34" t="s">
        <v>341</v>
      </c>
      <c r="Q28" s="36" t="s">
        <v>370</v>
      </c>
      <c r="R28" s="1"/>
      <c r="S28" s="1"/>
      <c r="T28" s="1"/>
      <c r="U28" s="1"/>
      <c r="V28" s="1"/>
      <c r="W28" s="1"/>
      <c r="X28" s="1"/>
      <c r="Y28" s="1"/>
      <c r="Z28" s="1"/>
    </row>
    <row r="29" spans="1:26" ht="94.5" hidden="1">
      <c r="A29" s="27">
        <v>5</v>
      </c>
      <c r="B29" s="33" t="s">
        <v>101</v>
      </c>
      <c r="C29" s="28" t="s">
        <v>332</v>
      </c>
      <c r="D29" s="29" t="s">
        <v>371</v>
      </c>
      <c r="E29" s="29" t="s">
        <v>372</v>
      </c>
      <c r="F29" s="29" t="s">
        <v>373</v>
      </c>
      <c r="G29" s="29" t="s">
        <v>374</v>
      </c>
      <c r="H29" s="29" t="s">
        <v>375</v>
      </c>
      <c r="I29" s="28" t="s">
        <v>356</v>
      </c>
      <c r="J29" s="30">
        <v>46223</v>
      </c>
      <c r="K29" s="31">
        <v>46219</v>
      </c>
      <c r="L29" s="31">
        <f t="shared" si="0"/>
        <v>46220</v>
      </c>
      <c r="M29" s="31">
        <f t="shared" si="1"/>
        <v>46224</v>
      </c>
      <c r="N29" s="32" t="s">
        <v>339</v>
      </c>
      <c r="O29" s="32" t="s">
        <v>349</v>
      </c>
      <c r="P29" s="27" t="s">
        <v>341</v>
      </c>
      <c r="Q29" s="29" t="s">
        <v>376</v>
      </c>
      <c r="R29" s="1"/>
      <c r="S29" s="1"/>
      <c r="T29" s="1"/>
      <c r="U29" s="1"/>
      <c r="V29" s="1"/>
      <c r="W29" s="1"/>
      <c r="X29" s="1"/>
      <c r="Y29" s="1"/>
      <c r="Z29" s="1"/>
    </row>
    <row r="30" spans="1:26" ht="67.5" hidden="1">
      <c r="A30" s="39">
        <v>7</v>
      </c>
      <c r="B30" s="40" t="s">
        <v>101</v>
      </c>
      <c r="C30" s="40" t="s">
        <v>332</v>
      </c>
      <c r="D30" s="41" t="s">
        <v>97</v>
      </c>
      <c r="E30" s="41" t="s">
        <v>377</v>
      </c>
      <c r="F30" s="41" t="s">
        <v>378</v>
      </c>
      <c r="G30" s="41" t="s">
        <v>379</v>
      </c>
      <c r="H30" s="41" t="s">
        <v>380</v>
      </c>
      <c r="I30" s="22" t="s">
        <v>369</v>
      </c>
      <c r="J30" s="42">
        <v>46224</v>
      </c>
      <c r="K30" s="43">
        <v>46222</v>
      </c>
      <c r="L30" s="43">
        <f t="shared" si="0"/>
        <v>46223</v>
      </c>
      <c r="M30" s="43">
        <f t="shared" si="1"/>
        <v>46225</v>
      </c>
      <c r="N30" s="44" t="s">
        <v>339</v>
      </c>
      <c r="O30" s="44" t="s">
        <v>349</v>
      </c>
      <c r="P30" s="39" t="s">
        <v>341</v>
      </c>
      <c r="Q30" s="41" t="s">
        <v>381</v>
      </c>
      <c r="R30" s="1"/>
      <c r="S30" s="1"/>
      <c r="T30" s="1"/>
      <c r="U30" s="1"/>
      <c r="V30" s="1"/>
      <c r="W30" s="1"/>
      <c r="X30" s="1"/>
      <c r="Y30" s="1"/>
      <c r="Z30" s="1"/>
    </row>
    <row r="31" spans="1:26" ht="81" hidden="1">
      <c r="A31" s="21">
        <v>8</v>
      </c>
      <c r="B31" s="22" t="s">
        <v>101</v>
      </c>
      <c r="C31" s="22" t="s">
        <v>332</v>
      </c>
      <c r="D31" s="23" t="s">
        <v>382</v>
      </c>
      <c r="E31" s="23" t="s">
        <v>383</v>
      </c>
      <c r="F31" s="23" t="s">
        <v>384</v>
      </c>
      <c r="G31" s="23" t="s">
        <v>385</v>
      </c>
      <c r="H31" s="23" t="s">
        <v>386</v>
      </c>
      <c r="I31" s="22" t="s">
        <v>356</v>
      </c>
      <c r="J31" s="42">
        <v>46224</v>
      </c>
      <c r="K31" s="43">
        <v>46222</v>
      </c>
      <c r="L31" s="25">
        <f t="shared" si="0"/>
        <v>46223</v>
      </c>
      <c r="M31" s="25">
        <f t="shared" si="1"/>
        <v>46225</v>
      </c>
      <c r="N31" s="26" t="s">
        <v>339</v>
      </c>
      <c r="O31" s="26" t="s">
        <v>349</v>
      </c>
      <c r="P31" s="21" t="s">
        <v>341</v>
      </c>
      <c r="Q31" s="23" t="s">
        <v>387</v>
      </c>
      <c r="R31" s="1"/>
      <c r="S31" s="1"/>
      <c r="T31" s="1"/>
      <c r="U31" s="1"/>
      <c r="V31" s="1"/>
      <c r="W31" s="1"/>
      <c r="X31" s="1"/>
      <c r="Y31" s="1"/>
      <c r="Z31" s="1"/>
    </row>
    <row r="32" spans="1:26" ht="81" hidden="1">
      <c r="A32" s="21">
        <v>9</v>
      </c>
      <c r="B32" s="22" t="s">
        <v>101</v>
      </c>
      <c r="C32" s="22" t="s">
        <v>332</v>
      </c>
      <c r="D32" s="23" t="s">
        <v>388</v>
      </c>
      <c r="E32" s="23" t="s">
        <v>389</v>
      </c>
      <c r="F32" s="23" t="s">
        <v>390</v>
      </c>
      <c r="G32" s="23" t="s">
        <v>391</v>
      </c>
      <c r="H32" s="23" t="s">
        <v>392</v>
      </c>
      <c r="I32" s="22" t="s">
        <v>356</v>
      </c>
      <c r="J32" s="45">
        <v>46224</v>
      </c>
      <c r="K32" s="46">
        <v>46222</v>
      </c>
      <c r="L32" s="25">
        <f t="shared" si="0"/>
        <v>46223</v>
      </c>
      <c r="M32" s="25">
        <f t="shared" si="1"/>
        <v>46225</v>
      </c>
      <c r="N32" s="26" t="s">
        <v>339</v>
      </c>
      <c r="O32" s="26" t="s">
        <v>349</v>
      </c>
      <c r="P32" s="21" t="s">
        <v>341</v>
      </c>
      <c r="Q32" s="23" t="s">
        <v>387</v>
      </c>
      <c r="R32" s="1"/>
      <c r="S32" s="1"/>
      <c r="T32" s="1"/>
      <c r="U32" s="1"/>
      <c r="V32" s="1"/>
      <c r="W32" s="1"/>
      <c r="X32" s="1"/>
      <c r="Y32" s="1"/>
      <c r="Z32" s="1"/>
    </row>
    <row r="33" spans="1:26" ht="81" hidden="1">
      <c r="A33" s="47">
        <v>10</v>
      </c>
      <c r="B33" s="48" t="s">
        <v>101</v>
      </c>
      <c r="C33" s="48" t="s">
        <v>332</v>
      </c>
      <c r="D33" s="49" t="s">
        <v>393</v>
      </c>
      <c r="E33" s="49" t="s">
        <v>394</v>
      </c>
      <c r="F33" s="49" t="s">
        <v>395</v>
      </c>
      <c r="G33" s="49" t="s">
        <v>396</v>
      </c>
      <c r="H33" s="49" t="s">
        <v>397</v>
      </c>
      <c r="I33" s="48" t="s">
        <v>356</v>
      </c>
      <c r="J33" s="45">
        <v>46224</v>
      </c>
      <c r="K33" s="46">
        <v>46222</v>
      </c>
      <c r="L33" s="50">
        <f t="shared" si="0"/>
        <v>46223</v>
      </c>
      <c r="M33" s="50">
        <f t="shared" si="1"/>
        <v>46225</v>
      </c>
      <c r="N33" s="51" t="s">
        <v>339</v>
      </c>
      <c r="O33" s="52" t="s">
        <v>349</v>
      </c>
      <c r="P33" s="47" t="s">
        <v>341</v>
      </c>
      <c r="Q33" s="49" t="s">
        <v>398</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1:L1"/>
    <mergeCell ref="A2:L2"/>
    <mergeCell ref="A17:Q17"/>
    <mergeCell ref="A18:Q18"/>
    <mergeCell ref="A19:Q19"/>
    <mergeCell ref="A20:D20"/>
    <mergeCell ref="F20:I20"/>
    <mergeCell ref="K20:L20"/>
    <mergeCell ref="N20:Q20"/>
    <mergeCell ref="A21:D21"/>
    <mergeCell ref="F21:I21"/>
    <mergeCell ref="K21:L21"/>
    <mergeCell ref="N21:Q21"/>
  </mergeCells>
  <conditionalFormatting sqref="B24:B33">
    <cfRule type="expression" dxfId="72" priority="13">
      <formula>EXACT($B24,"High")</formula>
    </cfRule>
    <cfRule type="expression" dxfId="71" priority="14">
      <formula>EXACT($B24,"Medium")</formula>
    </cfRule>
    <cfRule type="expression" dxfId="70" priority="15">
      <formula>EXACT($B24,"Low")</formula>
    </cfRule>
  </conditionalFormatting>
  <conditionalFormatting sqref="K5:K15">
    <cfRule type="expression" dxfId="69" priority="16">
      <formula>ISNUMBER(SEARCH("Delayed",K5))</formula>
    </cfRule>
    <cfRule type="expression" dxfId="68" priority="17">
      <formula>ISNUMBER(SEARCH("Escalated",K5))</formula>
    </cfRule>
    <cfRule type="expression" dxfId="67" priority="18">
      <formula>ISNUMBER(SEARCH("Completed",K5))</formula>
    </cfRule>
    <cfRule type="expression" dxfId="66" priority="19">
      <formula>ISNUMBER(SEARCH("Closed",K5))</formula>
    </cfRule>
    <cfRule type="expression" dxfId="65" priority="20">
      <formula>ISNUMBER(SEARCH("Information Required",K5))</formula>
    </cfRule>
  </conditionalFormatting>
  <conditionalFormatting sqref="O24:O33">
    <cfRule type="expression" dxfId="64" priority="1">
      <formula>EXACT($O24,"Completed")</formula>
    </cfRule>
    <cfRule type="expression" dxfId="63" priority="2">
      <formula>EXACT($O24,"Scheduled")</formula>
    </cfRule>
    <cfRule type="expression" dxfId="62" priority="3">
      <formula>EXACT($O24,"Client review")</formula>
    </cfRule>
    <cfRule type="expression" dxfId="61" priority="4">
      <formula>EXACT($O24,"Ready to schedule")</formula>
    </cfRule>
    <cfRule type="expression" dxfId="60" priority="5">
      <formula>EXACT($O24,"On hold")</formula>
    </cfRule>
    <cfRule type="expression" dxfId="59" priority="6">
      <formula>EXACT($O24,"Not started")</formula>
    </cfRule>
    <cfRule type="expression" dxfId="58" priority="7">
      <formula>EXACT($O24,"Completed")</formula>
    </cfRule>
    <cfRule type="expression" dxfId="57" priority="8">
      <formula>EXACT($O24,"Scheduled")</formula>
    </cfRule>
    <cfRule type="expression" dxfId="56" priority="9">
      <formula>EXACT($O24,"Client review")</formula>
    </cfRule>
    <cfRule type="expression" dxfId="55" priority="10">
      <formula>EXACT($O24,"Ready to schedule")</formula>
    </cfRule>
    <cfRule type="expression" dxfId="54" priority="11">
      <formula>EXACT($O24,"On hold")</formula>
    </cfRule>
    <cfRule type="expression" dxfId="53"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19" t="s">
        <v>399</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400</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401</v>
      </c>
      <c r="B4" s="2" t="s">
        <v>23</v>
      </c>
      <c r="C4" s="2" t="s">
        <v>402</v>
      </c>
      <c r="D4" s="2" t="s">
        <v>403</v>
      </c>
      <c r="E4" s="2" t="s">
        <v>404</v>
      </c>
      <c r="F4" s="2" t="s">
        <v>405</v>
      </c>
      <c r="G4" s="2" t="s">
        <v>406</v>
      </c>
      <c r="H4" s="2" t="s">
        <v>407</v>
      </c>
      <c r="I4" s="2" t="s">
        <v>408</v>
      </c>
      <c r="J4" s="2" t="s">
        <v>36</v>
      </c>
      <c r="K4" s="1"/>
      <c r="L4" s="1"/>
      <c r="M4" s="1"/>
      <c r="N4" s="1"/>
      <c r="O4" s="1"/>
      <c r="P4" s="1"/>
      <c r="Q4" s="1"/>
      <c r="R4" s="1"/>
      <c r="S4" s="1"/>
      <c r="T4" s="1"/>
      <c r="U4" s="1"/>
      <c r="V4" s="1"/>
      <c r="W4" s="1"/>
      <c r="X4" s="1"/>
      <c r="Y4" s="1"/>
      <c r="Z4" s="1"/>
    </row>
    <row r="5" spans="1:26" ht="30" customHeight="1">
      <c r="A5" s="3" t="s">
        <v>409</v>
      </c>
      <c r="B5" s="3" t="s">
        <v>410</v>
      </c>
      <c r="C5" s="3" t="s">
        <v>411</v>
      </c>
      <c r="D5" s="3" t="s">
        <v>412</v>
      </c>
      <c r="E5" s="3" t="s">
        <v>413</v>
      </c>
      <c r="F5" s="3" t="s">
        <v>414</v>
      </c>
      <c r="G5" s="3" t="s">
        <v>415</v>
      </c>
      <c r="H5" s="3">
        <v>10</v>
      </c>
      <c r="I5" s="3" t="s">
        <v>245</v>
      </c>
      <c r="J5" s="3" t="s">
        <v>416</v>
      </c>
      <c r="K5" s="1"/>
      <c r="L5" s="1"/>
      <c r="M5" s="1"/>
      <c r="N5" s="1"/>
      <c r="O5" s="1"/>
      <c r="P5" s="1"/>
      <c r="Q5" s="1"/>
      <c r="R5" s="1"/>
      <c r="S5" s="1"/>
      <c r="T5" s="1"/>
      <c r="U5" s="1"/>
      <c r="V5" s="1"/>
      <c r="W5" s="1"/>
      <c r="X5" s="1"/>
      <c r="Y5" s="1"/>
      <c r="Z5" s="1"/>
    </row>
    <row r="6" spans="1:26" ht="30" customHeight="1">
      <c r="A6" s="3" t="s">
        <v>409</v>
      </c>
      <c r="B6" s="3" t="s">
        <v>410</v>
      </c>
      <c r="C6" s="3" t="s">
        <v>411</v>
      </c>
      <c r="D6" s="3" t="s">
        <v>412</v>
      </c>
      <c r="E6" s="3" t="s">
        <v>417</v>
      </c>
      <c r="F6" s="3" t="s">
        <v>418</v>
      </c>
      <c r="G6" s="3" t="s">
        <v>419</v>
      </c>
      <c r="H6" s="3">
        <v>15</v>
      </c>
      <c r="I6" s="3" t="s">
        <v>246</v>
      </c>
      <c r="J6" s="3" t="s">
        <v>420</v>
      </c>
      <c r="K6" s="1"/>
      <c r="L6" s="1"/>
      <c r="M6" s="1"/>
      <c r="N6" s="1"/>
      <c r="O6" s="1"/>
      <c r="P6" s="1"/>
      <c r="Q6" s="1"/>
      <c r="R6" s="1"/>
      <c r="S6" s="1"/>
      <c r="T6" s="1"/>
      <c r="U6" s="1"/>
      <c r="V6" s="1"/>
      <c r="W6" s="1"/>
      <c r="X6" s="1"/>
      <c r="Y6" s="1"/>
      <c r="Z6" s="1"/>
    </row>
    <row r="7" spans="1:26" ht="30" customHeight="1">
      <c r="A7" s="3" t="s">
        <v>409</v>
      </c>
      <c r="B7" s="3" t="s">
        <v>410</v>
      </c>
      <c r="C7" s="3" t="s">
        <v>411</v>
      </c>
      <c r="D7" s="3" t="s">
        <v>412</v>
      </c>
      <c r="E7" s="3" t="s">
        <v>421</v>
      </c>
      <c r="F7" s="3" t="s">
        <v>422</v>
      </c>
      <c r="G7" s="3" t="s">
        <v>423</v>
      </c>
      <c r="H7" s="3">
        <v>20</v>
      </c>
      <c r="I7" s="3" t="s">
        <v>246</v>
      </c>
      <c r="J7" s="3" t="s">
        <v>424</v>
      </c>
      <c r="K7" s="1"/>
      <c r="L7" s="1"/>
      <c r="M7" s="1"/>
      <c r="N7" s="1"/>
      <c r="O7" s="1"/>
      <c r="P7" s="1"/>
      <c r="Q7" s="1"/>
      <c r="R7" s="1"/>
      <c r="S7" s="1"/>
      <c r="T7" s="1"/>
      <c r="U7" s="1"/>
      <c r="V7" s="1"/>
      <c r="W7" s="1"/>
      <c r="X7" s="1"/>
      <c r="Y7" s="1"/>
      <c r="Z7" s="1"/>
    </row>
    <row r="8" spans="1:26" ht="30" customHeight="1">
      <c r="A8" s="3" t="s">
        <v>409</v>
      </c>
      <c r="B8" s="3" t="s">
        <v>410</v>
      </c>
      <c r="C8" s="3" t="s">
        <v>411</v>
      </c>
      <c r="D8" s="3" t="s">
        <v>412</v>
      </c>
      <c r="E8" s="3" t="s">
        <v>425</v>
      </c>
      <c r="F8" s="3" t="s">
        <v>426</v>
      </c>
      <c r="G8" s="3" t="s">
        <v>427</v>
      </c>
      <c r="H8" s="3">
        <v>15</v>
      </c>
      <c r="I8" s="3" t="s">
        <v>245</v>
      </c>
      <c r="J8" s="3" t="s">
        <v>428</v>
      </c>
      <c r="K8" s="1"/>
      <c r="L8" s="1"/>
      <c r="M8" s="1"/>
      <c r="N8" s="1"/>
      <c r="O8" s="1"/>
      <c r="P8" s="1"/>
      <c r="Q8" s="1"/>
      <c r="R8" s="1"/>
      <c r="S8" s="1"/>
      <c r="T8" s="1"/>
      <c r="U8" s="1"/>
      <c r="V8" s="1"/>
      <c r="W8" s="1"/>
      <c r="X8" s="1"/>
      <c r="Y8" s="1"/>
      <c r="Z8" s="1"/>
    </row>
    <row r="9" spans="1:26" ht="30" customHeight="1">
      <c r="A9" s="3" t="s">
        <v>409</v>
      </c>
      <c r="B9" s="3" t="s">
        <v>410</v>
      </c>
      <c r="C9" s="3" t="s">
        <v>411</v>
      </c>
      <c r="D9" s="3" t="s">
        <v>412</v>
      </c>
      <c r="E9" s="3" t="s">
        <v>429</v>
      </c>
      <c r="F9" s="3" t="s">
        <v>430</v>
      </c>
      <c r="G9" s="3" t="s">
        <v>431</v>
      </c>
      <c r="H9" s="3">
        <v>10</v>
      </c>
      <c r="I9" s="3" t="s">
        <v>245</v>
      </c>
      <c r="J9" s="3" t="s">
        <v>432</v>
      </c>
      <c r="K9" s="1"/>
      <c r="L9" s="1"/>
      <c r="M9" s="1"/>
      <c r="N9" s="1"/>
      <c r="O9" s="1"/>
      <c r="P9" s="1"/>
      <c r="Q9" s="1"/>
      <c r="R9" s="1"/>
      <c r="S9" s="1"/>
      <c r="T9" s="1"/>
      <c r="U9" s="1"/>
      <c r="V9" s="1"/>
      <c r="W9" s="1"/>
      <c r="X9" s="1"/>
      <c r="Y9" s="1"/>
      <c r="Z9" s="1"/>
    </row>
    <row r="10" spans="1:26" ht="30" customHeight="1">
      <c r="A10" s="3" t="s">
        <v>433</v>
      </c>
      <c r="B10" s="3" t="s">
        <v>56</v>
      </c>
      <c r="C10" s="3" t="s">
        <v>434</v>
      </c>
      <c r="D10" s="3" t="s">
        <v>435</v>
      </c>
      <c r="E10" s="3" t="s">
        <v>436</v>
      </c>
      <c r="F10" s="3" t="s">
        <v>437</v>
      </c>
      <c r="G10" s="3" t="s">
        <v>438</v>
      </c>
      <c r="H10" s="3">
        <v>15</v>
      </c>
      <c r="I10" s="3" t="s">
        <v>63</v>
      </c>
      <c r="J10" s="3" t="s">
        <v>439</v>
      </c>
      <c r="K10" s="1"/>
      <c r="L10" s="1"/>
      <c r="M10" s="1"/>
      <c r="N10" s="1"/>
      <c r="O10" s="1"/>
      <c r="P10" s="1"/>
      <c r="Q10" s="1"/>
      <c r="R10" s="1"/>
      <c r="S10" s="1"/>
      <c r="T10" s="1"/>
      <c r="U10" s="1"/>
      <c r="V10" s="1"/>
      <c r="W10" s="1"/>
      <c r="X10" s="1"/>
      <c r="Y10" s="1"/>
      <c r="Z10" s="1"/>
    </row>
    <row r="11" spans="1:26" ht="30" customHeight="1">
      <c r="A11" s="3" t="s">
        <v>433</v>
      </c>
      <c r="B11" s="3" t="s">
        <v>56</v>
      </c>
      <c r="C11" s="3" t="s">
        <v>434</v>
      </c>
      <c r="D11" s="3" t="s">
        <v>435</v>
      </c>
      <c r="E11" s="3" t="s">
        <v>440</v>
      </c>
      <c r="F11" s="3" t="s">
        <v>441</v>
      </c>
      <c r="G11" s="3" t="s">
        <v>442</v>
      </c>
      <c r="H11" s="3">
        <v>20</v>
      </c>
      <c r="I11" s="3" t="s">
        <v>63</v>
      </c>
      <c r="J11" s="3" t="s">
        <v>443</v>
      </c>
      <c r="K11" s="1"/>
      <c r="L11" s="1"/>
      <c r="M11" s="1"/>
      <c r="N11" s="1"/>
      <c r="O11" s="1"/>
      <c r="P11" s="1"/>
      <c r="Q11" s="1"/>
      <c r="R11" s="1"/>
      <c r="S11" s="1"/>
      <c r="T11" s="1"/>
      <c r="U11" s="1"/>
      <c r="V11" s="1"/>
      <c r="W11" s="1"/>
      <c r="X11" s="1"/>
      <c r="Y11" s="1"/>
      <c r="Z11" s="1"/>
    </row>
    <row r="12" spans="1:26" ht="30" customHeight="1">
      <c r="A12" s="3" t="s">
        <v>433</v>
      </c>
      <c r="B12" s="3" t="s">
        <v>56</v>
      </c>
      <c r="C12" s="3" t="s">
        <v>434</v>
      </c>
      <c r="D12" s="3" t="s">
        <v>435</v>
      </c>
      <c r="E12" s="3" t="s">
        <v>444</v>
      </c>
      <c r="F12" s="3" t="s">
        <v>445</v>
      </c>
      <c r="G12" s="3" t="s">
        <v>446</v>
      </c>
      <c r="H12" s="3">
        <v>20</v>
      </c>
      <c r="I12" s="3" t="s">
        <v>169</v>
      </c>
      <c r="J12" s="3" t="s">
        <v>301</v>
      </c>
      <c r="K12" s="1"/>
      <c r="L12" s="1"/>
      <c r="M12" s="1"/>
      <c r="N12" s="1"/>
      <c r="O12" s="1"/>
      <c r="P12" s="1"/>
      <c r="Q12" s="1"/>
      <c r="R12" s="1"/>
      <c r="S12" s="1"/>
      <c r="T12" s="1"/>
      <c r="U12" s="1"/>
      <c r="V12" s="1"/>
      <c r="W12" s="1"/>
      <c r="X12" s="1"/>
      <c r="Y12" s="1"/>
      <c r="Z12" s="1"/>
    </row>
    <row r="13" spans="1:26" ht="30" customHeight="1">
      <c r="A13" s="3" t="s">
        <v>433</v>
      </c>
      <c r="B13" s="3" t="s">
        <v>56</v>
      </c>
      <c r="C13" s="3" t="s">
        <v>434</v>
      </c>
      <c r="D13" s="3" t="s">
        <v>435</v>
      </c>
      <c r="E13" s="3" t="s">
        <v>447</v>
      </c>
      <c r="F13" s="3" t="s">
        <v>448</v>
      </c>
      <c r="G13" s="3" t="s">
        <v>449</v>
      </c>
      <c r="H13" s="3">
        <v>15</v>
      </c>
      <c r="I13" s="3" t="s">
        <v>450</v>
      </c>
      <c r="J13" s="3" t="s">
        <v>451</v>
      </c>
      <c r="K13" s="1"/>
      <c r="L13" s="1"/>
      <c r="M13" s="1"/>
      <c r="N13" s="1"/>
      <c r="O13" s="1"/>
      <c r="P13" s="1"/>
      <c r="Q13" s="1"/>
      <c r="R13" s="1"/>
      <c r="S13" s="1"/>
      <c r="T13" s="1"/>
      <c r="U13" s="1"/>
      <c r="V13" s="1"/>
      <c r="W13" s="1"/>
      <c r="X13" s="1"/>
      <c r="Y13" s="1"/>
      <c r="Z13" s="1"/>
    </row>
    <row r="14" spans="1:26" ht="30" customHeight="1">
      <c r="A14" s="3" t="s">
        <v>433</v>
      </c>
      <c r="B14" s="3" t="s">
        <v>56</v>
      </c>
      <c r="C14" s="3" t="s">
        <v>434</v>
      </c>
      <c r="D14" s="3" t="s">
        <v>435</v>
      </c>
      <c r="E14" s="3" t="s">
        <v>452</v>
      </c>
      <c r="F14" s="3" t="s">
        <v>453</v>
      </c>
      <c r="G14" s="3" t="s">
        <v>454</v>
      </c>
      <c r="H14" s="3">
        <v>10</v>
      </c>
      <c r="I14" s="3" t="s">
        <v>246</v>
      </c>
      <c r="J14" s="3" t="s">
        <v>455</v>
      </c>
      <c r="K14" s="1"/>
      <c r="L14" s="1"/>
      <c r="M14" s="1"/>
      <c r="N14" s="1"/>
      <c r="O14" s="1"/>
      <c r="P14" s="1"/>
      <c r="Q14" s="1"/>
      <c r="R14" s="1"/>
      <c r="S14" s="1"/>
      <c r="T14" s="1"/>
      <c r="U14" s="1"/>
      <c r="V14" s="1"/>
      <c r="W14" s="1"/>
      <c r="X14" s="1"/>
      <c r="Y14" s="1"/>
      <c r="Z14" s="1"/>
    </row>
    <row r="15" spans="1:26" ht="30" customHeight="1">
      <c r="A15" s="3" t="s">
        <v>456</v>
      </c>
      <c r="B15" s="3" t="s">
        <v>253</v>
      </c>
      <c r="C15" s="3" t="s">
        <v>457</v>
      </c>
      <c r="D15" s="3" t="s">
        <v>458</v>
      </c>
      <c r="E15" s="3" t="s">
        <v>459</v>
      </c>
      <c r="F15" s="3" t="s">
        <v>460</v>
      </c>
      <c r="G15" s="3" t="s">
        <v>461</v>
      </c>
      <c r="H15" s="3">
        <v>10</v>
      </c>
      <c r="I15" s="3" t="s">
        <v>77</v>
      </c>
      <c r="J15" s="3" t="s">
        <v>462</v>
      </c>
      <c r="K15" s="1"/>
      <c r="L15" s="1"/>
      <c r="M15" s="1"/>
      <c r="N15" s="1"/>
      <c r="O15" s="1"/>
      <c r="P15" s="1"/>
      <c r="Q15" s="1"/>
      <c r="R15" s="1"/>
      <c r="S15" s="1"/>
      <c r="T15" s="1"/>
      <c r="U15" s="1"/>
      <c r="V15" s="1"/>
      <c r="W15" s="1"/>
      <c r="X15" s="1"/>
      <c r="Y15" s="1"/>
      <c r="Z15" s="1"/>
    </row>
    <row r="16" spans="1:26" ht="30" customHeight="1">
      <c r="A16" s="3" t="s">
        <v>456</v>
      </c>
      <c r="B16" s="3" t="s">
        <v>253</v>
      </c>
      <c r="C16" s="3" t="s">
        <v>457</v>
      </c>
      <c r="D16" s="3" t="s">
        <v>458</v>
      </c>
      <c r="E16" s="3" t="s">
        <v>463</v>
      </c>
      <c r="F16" s="3" t="s">
        <v>464</v>
      </c>
      <c r="G16" s="3" t="s">
        <v>465</v>
      </c>
      <c r="H16" s="3">
        <v>20</v>
      </c>
      <c r="I16" s="3" t="s">
        <v>77</v>
      </c>
      <c r="J16" s="3" t="s">
        <v>466</v>
      </c>
      <c r="K16" s="1"/>
      <c r="L16" s="1"/>
      <c r="M16" s="1"/>
      <c r="N16" s="1"/>
      <c r="O16" s="1"/>
      <c r="P16" s="1"/>
      <c r="Q16" s="1"/>
      <c r="R16" s="1"/>
      <c r="S16" s="1"/>
      <c r="T16" s="1"/>
      <c r="U16" s="1"/>
      <c r="V16" s="1"/>
      <c r="W16" s="1"/>
      <c r="X16" s="1"/>
      <c r="Y16" s="1"/>
      <c r="Z16" s="1"/>
    </row>
    <row r="17" spans="1:26" ht="30" customHeight="1">
      <c r="A17" s="3" t="s">
        <v>456</v>
      </c>
      <c r="B17" s="3" t="s">
        <v>253</v>
      </c>
      <c r="C17" s="3" t="s">
        <v>457</v>
      </c>
      <c r="D17" s="3" t="s">
        <v>458</v>
      </c>
      <c r="E17" s="3" t="s">
        <v>467</v>
      </c>
      <c r="F17" s="3" t="s">
        <v>468</v>
      </c>
      <c r="G17" s="3" t="s">
        <v>469</v>
      </c>
      <c r="H17" s="3">
        <v>20</v>
      </c>
      <c r="I17" s="3" t="s">
        <v>470</v>
      </c>
      <c r="J17" s="3" t="s">
        <v>471</v>
      </c>
      <c r="K17" s="1"/>
      <c r="L17" s="1"/>
      <c r="M17" s="1"/>
      <c r="N17" s="1"/>
      <c r="O17" s="1"/>
      <c r="P17" s="1"/>
      <c r="Q17" s="1"/>
      <c r="R17" s="1"/>
      <c r="S17" s="1"/>
      <c r="T17" s="1"/>
      <c r="U17" s="1"/>
      <c r="V17" s="1"/>
      <c r="W17" s="1"/>
      <c r="X17" s="1"/>
      <c r="Y17" s="1"/>
      <c r="Z17" s="1"/>
    </row>
    <row r="18" spans="1:26" ht="30" customHeight="1">
      <c r="A18" s="3" t="s">
        <v>456</v>
      </c>
      <c r="B18" s="3" t="s">
        <v>253</v>
      </c>
      <c r="C18" s="3" t="s">
        <v>457</v>
      </c>
      <c r="D18" s="3" t="s">
        <v>458</v>
      </c>
      <c r="E18" s="3" t="s">
        <v>472</v>
      </c>
      <c r="F18" s="3" t="s">
        <v>473</v>
      </c>
      <c r="G18" s="3" t="s">
        <v>474</v>
      </c>
      <c r="H18" s="3">
        <v>15</v>
      </c>
      <c r="I18" s="3" t="s">
        <v>475</v>
      </c>
      <c r="J18" s="3" t="s">
        <v>476</v>
      </c>
      <c r="K18" s="1"/>
      <c r="L18" s="1"/>
      <c r="M18" s="1"/>
      <c r="N18" s="1"/>
      <c r="O18" s="1"/>
      <c r="P18" s="1"/>
      <c r="Q18" s="1"/>
      <c r="R18" s="1"/>
      <c r="S18" s="1"/>
      <c r="T18" s="1"/>
      <c r="U18" s="1"/>
      <c r="V18" s="1"/>
      <c r="W18" s="1"/>
      <c r="X18" s="1"/>
      <c r="Y18" s="1"/>
      <c r="Z18" s="1"/>
    </row>
    <row r="19" spans="1:26" ht="30" customHeight="1">
      <c r="A19" s="3" t="s">
        <v>456</v>
      </c>
      <c r="B19" s="3" t="s">
        <v>253</v>
      </c>
      <c r="C19" s="3" t="s">
        <v>457</v>
      </c>
      <c r="D19" s="3" t="s">
        <v>458</v>
      </c>
      <c r="E19" s="3" t="s">
        <v>477</v>
      </c>
      <c r="F19" s="3" t="s">
        <v>478</v>
      </c>
      <c r="G19" s="3" t="s">
        <v>479</v>
      </c>
      <c r="H19" s="3">
        <v>10</v>
      </c>
      <c r="I19" s="3" t="s">
        <v>480</v>
      </c>
      <c r="J19" s="3" t="s">
        <v>481</v>
      </c>
      <c r="K19" s="1"/>
      <c r="L19" s="1"/>
      <c r="M19" s="1"/>
      <c r="N19" s="1"/>
      <c r="O19" s="1"/>
      <c r="P19" s="1"/>
      <c r="Q19" s="1"/>
      <c r="R19" s="1"/>
      <c r="S19" s="1"/>
      <c r="T19" s="1"/>
      <c r="U19" s="1"/>
      <c r="V19" s="1"/>
      <c r="W19" s="1"/>
      <c r="X19" s="1"/>
      <c r="Y19" s="1"/>
      <c r="Z19" s="1"/>
    </row>
    <row r="20" spans="1:26" ht="30" customHeight="1">
      <c r="A20" s="3" t="s">
        <v>456</v>
      </c>
      <c r="B20" s="3" t="s">
        <v>253</v>
      </c>
      <c r="C20" s="3" t="s">
        <v>457</v>
      </c>
      <c r="D20" s="3" t="s">
        <v>458</v>
      </c>
      <c r="E20" s="3" t="s">
        <v>429</v>
      </c>
      <c r="F20" s="3" t="s">
        <v>482</v>
      </c>
      <c r="G20" s="3" t="s">
        <v>483</v>
      </c>
      <c r="H20" s="3">
        <v>5</v>
      </c>
      <c r="I20" s="3" t="s">
        <v>246</v>
      </c>
      <c r="J20" s="3" t="s">
        <v>484</v>
      </c>
      <c r="K20" s="1"/>
      <c r="L20" s="1"/>
      <c r="M20" s="1"/>
      <c r="N20" s="1"/>
      <c r="O20" s="1"/>
      <c r="P20" s="1"/>
      <c r="Q20" s="1"/>
      <c r="R20" s="1"/>
      <c r="S20" s="1"/>
      <c r="T20" s="1"/>
      <c r="U20" s="1"/>
      <c r="V20" s="1"/>
      <c r="W20" s="1"/>
      <c r="X20" s="1"/>
      <c r="Y20" s="1"/>
      <c r="Z20" s="1"/>
    </row>
    <row r="21" spans="1:26" ht="30" customHeight="1">
      <c r="A21" s="3" t="s">
        <v>485</v>
      </c>
      <c r="B21" s="3" t="s">
        <v>486</v>
      </c>
      <c r="C21" s="3" t="s">
        <v>487</v>
      </c>
      <c r="D21" s="3" t="s">
        <v>488</v>
      </c>
      <c r="E21" s="3" t="s">
        <v>489</v>
      </c>
      <c r="F21" s="3" t="s">
        <v>490</v>
      </c>
      <c r="G21" s="3" t="s">
        <v>491</v>
      </c>
      <c r="H21" s="3">
        <v>15</v>
      </c>
      <c r="I21" s="3" t="s">
        <v>90</v>
      </c>
      <c r="J21" s="3" t="s">
        <v>492</v>
      </c>
      <c r="K21" s="1"/>
      <c r="L21" s="1"/>
      <c r="M21" s="1"/>
      <c r="N21" s="1"/>
      <c r="O21" s="1"/>
      <c r="P21" s="1"/>
      <c r="Q21" s="1"/>
      <c r="R21" s="1"/>
      <c r="S21" s="1"/>
      <c r="T21" s="1"/>
      <c r="U21" s="1"/>
      <c r="V21" s="1"/>
      <c r="W21" s="1"/>
      <c r="X21" s="1"/>
      <c r="Y21" s="1"/>
      <c r="Z21" s="1"/>
    </row>
    <row r="22" spans="1:26" ht="30" customHeight="1">
      <c r="A22" s="3" t="s">
        <v>485</v>
      </c>
      <c r="B22" s="3" t="s">
        <v>486</v>
      </c>
      <c r="C22" s="3" t="s">
        <v>487</v>
      </c>
      <c r="D22" s="3" t="s">
        <v>488</v>
      </c>
      <c r="E22" s="3" t="s">
        <v>493</v>
      </c>
      <c r="F22" s="3" t="s">
        <v>494</v>
      </c>
      <c r="G22" s="3" t="s">
        <v>495</v>
      </c>
      <c r="H22" s="3">
        <v>20</v>
      </c>
      <c r="I22" s="3" t="s">
        <v>90</v>
      </c>
      <c r="J22" s="3" t="s">
        <v>496</v>
      </c>
      <c r="K22" s="1"/>
      <c r="L22" s="1"/>
      <c r="M22" s="1"/>
      <c r="N22" s="1"/>
      <c r="O22" s="1"/>
      <c r="P22" s="1"/>
      <c r="Q22" s="1"/>
      <c r="R22" s="1"/>
      <c r="S22" s="1"/>
      <c r="T22" s="1"/>
      <c r="U22" s="1"/>
      <c r="V22" s="1"/>
      <c r="W22" s="1"/>
      <c r="X22" s="1"/>
      <c r="Y22" s="1"/>
      <c r="Z22" s="1"/>
    </row>
    <row r="23" spans="1:26" ht="30" customHeight="1">
      <c r="A23" s="3" t="s">
        <v>485</v>
      </c>
      <c r="B23" s="3" t="s">
        <v>486</v>
      </c>
      <c r="C23" s="3" t="s">
        <v>487</v>
      </c>
      <c r="D23" s="3" t="s">
        <v>488</v>
      </c>
      <c r="E23" s="3" t="s">
        <v>497</v>
      </c>
      <c r="F23" s="3" t="s">
        <v>498</v>
      </c>
      <c r="G23" s="3" t="s">
        <v>499</v>
      </c>
      <c r="H23" s="3">
        <v>20</v>
      </c>
      <c r="I23" s="3" t="s">
        <v>500</v>
      </c>
      <c r="J23" s="3" t="s">
        <v>501</v>
      </c>
      <c r="K23" s="1"/>
      <c r="L23" s="1"/>
      <c r="M23" s="1"/>
      <c r="N23" s="1"/>
      <c r="O23" s="1"/>
      <c r="P23" s="1"/>
      <c r="Q23" s="1"/>
      <c r="R23" s="1"/>
      <c r="S23" s="1"/>
      <c r="T23" s="1"/>
      <c r="U23" s="1"/>
      <c r="V23" s="1"/>
      <c r="W23" s="1"/>
      <c r="X23" s="1"/>
      <c r="Y23" s="1"/>
      <c r="Z23" s="1"/>
    </row>
    <row r="24" spans="1:26" ht="30" customHeight="1">
      <c r="A24" s="3" t="s">
        <v>485</v>
      </c>
      <c r="B24" s="3" t="s">
        <v>486</v>
      </c>
      <c r="C24" s="3" t="s">
        <v>487</v>
      </c>
      <c r="D24" s="3" t="s">
        <v>488</v>
      </c>
      <c r="E24" s="3" t="s">
        <v>502</v>
      </c>
      <c r="F24" s="3" t="s">
        <v>503</v>
      </c>
      <c r="G24" s="3" t="s">
        <v>504</v>
      </c>
      <c r="H24" s="3">
        <v>15</v>
      </c>
      <c r="I24" s="3" t="s">
        <v>182</v>
      </c>
      <c r="J24" s="3" t="s">
        <v>505</v>
      </c>
      <c r="K24" s="1"/>
      <c r="L24" s="1"/>
      <c r="M24" s="1"/>
      <c r="N24" s="1"/>
      <c r="O24" s="1"/>
      <c r="P24" s="1"/>
      <c r="Q24" s="1"/>
      <c r="R24" s="1"/>
      <c r="S24" s="1"/>
      <c r="T24" s="1"/>
      <c r="U24" s="1"/>
      <c r="V24" s="1"/>
      <c r="W24" s="1"/>
      <c r="X24" s="1"/>
      <c r="Y24" s="1"/>
      <c r="Z24" s="1"/>
    </row>
    <row r="25" spans="1:26" ht="30" customHeight="1">
      <c r="A25" s="3" t="s">
        <v>485</v>
      </c>
      <c r="B25" s="3" t="s">
        <v>486</v>
      </c>
      <c r="C25" s="3" t="s">
        <v>487</v>
      </c>
      <c r="D25" s="3" t="s">
        <v>488</v>
      </c>
      <c r="E25" s="3" t="s">
        <v>429</v>
      </c>
      <c r="F25" s="3" t="s">
        <v>506</v>
      </c>
      <c r="G25" s="3" t="s">
        <v>507</v>
      </c>
      <c r="H25" s="3">
        <v>10</v>
      </c>
      <c r="I25" s="3" t="s">
        <v>246</v>
      </c>
      <c r="J25" s="3" t="s">
        <v>508</v>
      </c>
      <c r="K25" s="1"/>
      <c r="L25" s="1"/>
      <c r="M25" s="1"/>
      <c r="N25" s="1"/>
      <c r="O25" s="1"/>
      <c r="P25" s="1"/>
      <c r="Q25" s="1"/>
      <c r="R25" s="1"/>
      <c r="S25" s="1"/>
      <c r="T25" s="1"/>
      <c r="U25" s="1"/>
      <c r="V25" s="1"/>
      <c r="W25" s="1"/>
      <c r="X25" s="1"/>
      <c r="Y25" s="1"/>
      <c r="Z25" s="1"/>
    </row>
    <row r="26" spans="1:26" ht="30" customHeight="1">
      <c r="A26" s="3" t="s">
        <v>509</v>
      </c>
      <c r="B26" s="3" t="s">
        <v>266</v>
      </c>
      <c r="C26" s="3" t="s">
        <v>510</v>
      </c>
      <c r="D26" s="3" t="s">
        <v>511</v>
      </c>
      <c r="E26" s="3" t="s">
        <v>512</v>
      </c>
      <c r="F26" s="3" t="s">
        <v>513</v>
      </c>
      <c r="G26" s="3" t="s">
        <v>514</v>
      </c>
      <c r="H26" s="3">
        <v>10</v>
      </c>
      <c r="I26" s="3" t="s">
        <v>105</v>
      </c>
      <c r="J26" s="3" t="s">
        <v>515</v>
      </c>
      <c r="K26" s="1"/>
      <c r="L26" s="1"/>
      <c r="M26" s="1"/>
      <c r="N26" s="1"/>
      <c r="O26" s="1"/>
      <c r="P26" s="1"/>
      <c r="Q26" s="1"/>
      <c r="R26" s="1"/>
      <c r="S26" s="1"/>
      <c r="T26" s="1"/>
      <c r="U26" s="1"/>
      <c r="V26" s="1"/>
      <c r="W26" s="1"/>
      <c r="X26" s="1"/>
      <c r="Y26" s="1"/>
      <c r="Z26" s="1"/>
    </row>
    <row r="27" spans="1:26" ht="30" customHeight="1">
      <c r="A27" s="3" t="s">
        <v>509</v>
      </c>
      <c r="B27" s="3" t="s">
        <v>266</v>
      </c>
      <c r="C27" s="3" t="s">
        <v>510</v>
      </c>
      <c r="D27" s="3" t="s">
        <v>511</v>
      </c>
      <c r="E27" s="3" t="s">
        <v>516</v>
      </c>
      <c r="F27" s="3" t="s">
        <v>517</v>
      </c>
      <c r="G27" s="3" t="s">
        <v>518</v>
      </c>
      <c r="H27" s="3">
        <v>20</v>
      </c>
      <c r="I27" s="3" t="s">
        <v>105</v>
      </c>
      <c r="J27" s="3" t="s">
        <v>519</v>
      </c>
      <c r="K27" s="1"/>
      <c r="L27" s="1"/>
      <c r="M27" s="1"/>
      <c r="N27" s="1"/>
      <c r="O27" s="1"/>
      <c r="P27" s="1"/>
      <c r="Q27" s="1"/>
      <c r="R27" s="1"/>
      <c r="S27" s="1"/>
      <c r="T27" s="1"/>
      <c r="U27" s="1"/>
      <c r="V27" s="1"/>
      <c r="W27" s="1"/>
      <c r="X27" s="1"/>
      <c r="Y27" s="1"/>
      <c r="Z27" s="1"/>
    </row>
    <row r="28" spans="1:26" ht="30" customHeight="1">
      <c r="A28" s="3" t="s">
        <v>509</v>
      </c>
      <c r="B28" s="3" t="s">
        <v>266</v>
      </c>
      <c r="C28" s="3" t="s">
        <v>510</v>
      </c>
      <c r="D28" s="3" t="s">
        <v>511</v>
      </c>
      <c r="E28" s="3" t="s">
        <v>520</v>
      </c>
      <c r="F28" s="3" t="s">
        <v>521</v>
      </c>
      <c r="G28" s="3" t="s">
        <v>522</v>
      </c>
      <c r="H28" s="3">
        <v>20</v>
      </c>
      <c r="I28" s="3" t="s">
        <v>206</v>
      </c>
      <c r="J28" s="3" t="s">
        <v>523</v>
      </c>
      <c r="K28" s="1"/>
      <c r="L28" s="1"/>
      <c r="M28" s="1"/>
      <c r="N28" s="1"/>
      <c r="O28" s="1"/>
      <c r="P28" s="1"/>
      <c r="Q28" s="1"/>
      <c r="R28" s="1"/>
      <c r="S28" s="1"/>
      <c r="T28" s="1"/>
      <c r="U28" s="1"/>
      <c r="V28" s="1"/>
      <c r="W28" s="1"/>
      <c r="X28" s="1"/>
      <c r="Y28" s="1"/>
      <c r="Z28" s="1"/>
    </row>
    <row r="29" spans="1:26" ht="30" customHeight="1">
      <c r="A29" s="3" t="s">
        <v>509</v>
      </c>
      <c r="B29" s="3" t="s">
        <v>266</v>
      </c>
      <c r="C29" s="3" t="s">
        <v>510</v>
      </c>
      <c r="D29" s="3" t="s">
        <v>511</v>
      </c>
      <c r="E29" s="3" t="s">
        <v>524</v>
      </c>
      <c r="F29" s="3" t="s">
        <v>525</v>
      </c>
      <c r="G29" s="3" t="s">
        <v>526</v>
      </c>
      <c r="H29" s="3">
        <v>15</v>
      </c>
      <c r="I29" s="3" t="s">
        <v>105</v>
      </c>
      <c r="J29" s="3" t="s">
        <v>527</v>
      </c>
      <c r="K29" s="1"/>
      <c r="L29" s="1"/>
      <c r="M29" s="1"/>
      <c r="N29" s="1"/>
      <c r="O29" s="1"/>
      <c r="P29" s="1"/>
      <c r="Q29" s="1"/>
      <c r="R29" s="1"/>
      <c r="S29" s="1"/>
      <c r="T29" s="1"/>
      <c r="U29" s="1"/>
      <c r="V29" s="1"/>
      <c r="W29" s="1"/>
      <c r="X29" s="1"/>
      <c r="Y29" s="1"/>
      <c r="Z29" s="1"/>
    </row>
    <row r="30" spans="1:26" ht="30" customHeight="1">
      <c r="A30" s="3" t="s">
        <v>509</v>
      </c>
      <c r="B30" s="3" t="s">
        <v>266</v>
      </c>
      <c r="C30" s="3" t="s">
        <v>510</v>
      </c>
      <c r="D30" s="3" t="s">
        <v>511</v>
      </c>
      <c r="E30" s="3" t="s">
        <v>528</v>
      </c>
      <c r="F30" s="3" t="s">
        <v>529</v>
      </c>
      <c r="G30" s="3" t="s">
        <v>530</v>
      </c>
      <c r="H30" s="3">
        <v>10</v>
      </c>
      <c r="I30" s="3" t="s">
        <v>246</v>
      </c>
      <c r="J30" s="3" t="s">
        <v>531</v>
      </c>
      <c r="K30" s="1"/>
      <c r="L30" s="1"/>
      <c r="M30" s="1"/>
      <c r="N30" s="1"/>
      <c r="O30" s="1"/>
      <c r="P30" s="1"/>
      <c r="Q30" s="1"/>
      <c r="R30" s="1"/>
      <c r="S30" s="1"/>
      <c r="T30" s="1"/>
      <c r="U30" s="1"/>
      <c r="V30" s="1"/>
      <c r="W30" s="1"/>
      <c r="X30" s="1"/>
      <c r="Y30" s="1"/>
      <c r="Z30" s="1"/>
    </row>
    <row r="31" spans="1:26" ht="30" customHeight="1">
      <c r="A31" s="3" t="s">
        <v>532</v>
      </c>
      <c r="B31" s="3" t="s">
        <v>273</v>
      </c>
      <c r="C31" s="3" t="s">
        <v>533</v>
      </c>
      <c r="D31" s="3" t="s">
        <v>534</v>
      </c>
      <c r="E31" s="3" t="s">
        <v>535</v>
      </c>
      <c r="F31" s="3" t="s">
        <v>536</v>
      </c>
      <c r="G31" s="3" t="s">
        <v>537</v>
      </c>
      <c r="H31" s="3">
        <v>10</v>
      </c>
      <c r="I31" s="3" t="s">
        <v>246</v>
      </c>
      <c r="J31" s="3" t="s">
        <v>538</v>
      </c>
      <c r="K31" s="1"/>
      <c r="L31" s="1"/>
      <c r="M31" s="1"/>
      <c r="N31" s="1"/>
      <c r="O31" s="1"/>
      <c r="P31" s="1"/>
      <c r="Q31" s="1"/>
      <c r="R31" s="1"/>
      <c r="S31" s="1"/>
      <c r="T31" s="1"/>
      <c r="U31" s="1"/>
      <c r="V31" s="1"/>
      <c r="W31" s="1"/>
      <c r="X31" s="1"/>
      <c r="Y31" s="1"/>
      <c r="Z31" s="1"/>
    </row>
    <row r="32" spans="1:26" ht="30" customHeight="1">
      <c r="A32" s="3" t="s">
        <v>532</v>
      </c>
      <c r="B32" s="3" t="s">
        <v>273</v>
      </c>
      <c r="C32" s="3" t="s">
        <v>533</v>
      </c>
      <c r="D32" s="3" t="s">
        <v>534</v>
      </c>
      <c r="E32" s="3" t="s">
        <v>539</v>
      </c>
      <c r="F32" s="3" t="s">
        <v>540</v>
      </c>
      <c r="G32" s="3" t="s">
        <v>541</v>
      </c>
      <c r="H32" s="3">
        <v>20</v>
      </c>
      <c r="I32" s="3" t="s">
        <v>105</v>
      </c>
      <c r="J32" s="3" t="s">
        <v>542</v>
      </c>
      <c r="K32" s="1"/>
      <c r="L32" s="1"/>
      <c r="M32" s="1"/>
      <c r="N32" s="1"/>
      <c r="O32" s="1"/>
      <c r="P32" s="1"/>
      <c r="Q32" s="1"/>
      <c r="R32" s="1"/>
      <c r="S32" s="1"/>
      <c r="T32" s="1"/>
      <c r="U32" s="1"/>
      <c r="V32" s="1"/>
      <c r="W32" s="1"/>
      <c r="X32" s="1"/>
      <c r="Y32" s="1"/>
      <c r="Z32" s="1"/>
    </row>
    <row r="33" spans="1:26" ht="30" customHeight="1">
      <c r="A33" s="3" t="s">
        <v>532</v>
      </c>
      <c r="B33" s="3" t="s">
        <v>273</v>
      </c>
      <c r="C33" s="3" t="s">
        <v>533</v>
      </c>
      <c r="D33" s="3" t="s">
        <v>534</v>
      </c>
      <c r="E33" s="3" t="s">
        <v>543</v>
      </c>
      <c r="F33" s="3" t="s">
        <v>544</v>
      </c>
      <c r="G33" s="3" t="s">
        <v>545</v>
      </c>
      <c r="H33" s="3">
        <v>20</v>
      </c>
      <c r="I33" s="3" t="s">
        <v>90</v>
      </c>
      <c r="J33" s="3" t="s">
        <v>546</v>
      </c>
      <c r="K33" s="1"/>
      <c r="L33" s="1"/>
      <c r="M33" s="1"/>
      <c r="N33" s="1"/>
      <c r="O33" s="1"/>
      <c r="P33" s="1"/>
      <c r="Q33" s="1"/>
      <c r="R33" s="1"/>
      <c r="S33" s="1"/>
      <c r="T33" s="1"/>
      <c r="U33" s="1"/>
      <c r="V33" s="1"/>
      <c r="W33" s="1"/>
      <c r="X33" s="1"/>
      <c r="Y33" s="1"/>
      <c r="Z33" s="1"/>
    </row>
    <row r="34" spans="1:26" ht="30" customHeight="1">
      <c r="A34" s="3" t="s">
        <v>532</v>
      </c>
      <c r="B34" s="3" t="s">
        <v>273</v>
      </c>
      <c r="C34" s="3" t="s">
        <v>533</v>
      </c>
      <c r="D34" s="3" t="s">
        <v>534</v>
      </c>
      <c r="E34" s="3" t="s">
        <v>547</v>
      </c>
      <c r="F34" s="3" t="s">
        <v>548</v>
      </c>
      <c r="G34" s="3" t="s">
        <v>549</v>
      </c>
      <c r="H34" s="3">
        <v>20</v>
      </c>
      <c r="I34" s="3" t="s">
        <v>63</v>
      </c>
      <c r="J34" s="3" t="s">
        <v>550</v>
      </c>
      <c r="K34" s="1"/>
      <c r="L34" s="1"/>
      <c r="M34" s="1"/>
      <c r="N34" s="1"/>
      <c r="O34" s="1"/>
      <c r="P34" s="1"/>
      <c r="Q34" s="1"/>
      <c r="R34" s="1"/>
      <c r="S34" s="1"/>
      <c r="T34" s="1"/>
      <c r="U34" s="1"/>
      <c r="V34" s="1"/>
      <c r="W34" s="1"/>
      <c r="X34" s="1"/>
      <c r="Y34" s="1"/>
      <c r="Z34" s="1"/>
    </row>
    <row r="35" spans="1:26" ht="30" customHeight="1">
      <c r="A35" s="3" t="s">
        <v>532</v>
      </c>
      <c r="B35" s="3" t="s">
        <v>273</v>
      </c>
      <c r="C35" s="3" t="s">
        <v>533</v>
      </c>
      <c r="D35" s="3" t="s">
        <v>534</v>
      </c>
      <c r="E35" s="3" t="s">
        <v>429</v>
      </c>
      <c r="F35" s="3" t="s">
        <v>551</v>
      </c>
      <c r="G35" s="3" t="s">
        <v>552</v>
      </c>
      <c r="H35" s="3">
        <v>10</v>
      </c>
      <c r="I35" s="3" t="s">
        <v>246</v>
      </c>
      <c r="J35" s="3" t="s">
        <v>553</v>
      </c>
      <c r="K35" s="1"/>
      <c r="L35" s="1"/>
      <c r="M35" s="1"/>
      <c r="N35" s="1"/>
      <c r="O35" s="1"/>
      <c r="P35" s="1"/>
      <c r="Q35" s="1"/>
      <c r="R35" s="1"/>
      <c r="S35" s="1"/>
      <c r="T35" s="1"/>
      <c r="U35" s="1"/>
      <c r="V35" s="1"/>
      <c r="W35" s="1"/>
      <c r="X35" s="1"/>
      <c r="Y35" s="1"/>
      <c r="Z35" s="1"/>
    </row>
    <row r="36" spans="1:26" ht="30" customHeight="1">
      <c r="A36" s="3" t="s">
        <v>554</v>
      </c>
      <c r="B36" s="3" t="s">
        <v>136</v>
      </c>
      <c r="C36" s="3" t="s">
        <v>555</v>
      </c>
      <c r="D36" s="3" t="s">
        <v>556</v>
      </c>
      <c r="E36" s="3" t="s">
        <v>557</v>
      </c>
      <c r="F36" s="3" t="s">
        <v>558</v>
      </c>
      <c r="G36" s="3" t="s">
        <v>559</v>
      </c>
      <c r="H36" s="3">
        <v>15</v>
      </c>
      <c r="I36" s="3" t="s">
        <v>63</v>
      </c>
      <c r="J36" s="3" t="s">
        <v>560</v>
      </c>
      <c r="K36" s="1"/>
      <c r="L36" s="1"/>
      <c r="M36" s="1"/>
      <c r="N36" s="1"/>
      <c r="O36" s="1"/>
      <c r="P36" s="1"/>
      <c r="Q36" s="1"/>
      <c r="R36" s="1"/>
      <c r="S36" s="1"/>
      <c r="T36" s="1"/>
      <c r="U36" s="1"/>
      <c r="V36" s="1"/>
      <c r="W36" s="1"/>
      <c r="X36" s="1"/>
      <c r="Y36" s="1"/>
      <c r="Z36" s="1"/>
    </row>
    <row r="37" spans="1:26" ht="30" customHeight="1">
      <c r="A37" s="3" t="s">
        <v>554</v>
      </c>
      <c r="B37" s="3" t="s">
        <v>136</v>
      </c>
      <c r="C37" s="3" t="s">
        <v>555</v>
      </c>
      <c r="D37" s="3" t="s">
        <v>556</v>
      </c>
      <c r="E37" s="3" t="s">
        <v>561</v>
      </c>
      <c r="F37" s="3" t="s">
        <v>562</v>
      </c>
      <c r="G37" s="3" t="s">
        <v>563</v>
      </c>
      <c r="H37" s="3">
        <v>15</v>
      </c>
      <c r="I37" s="3" t="s">
        <v>63</v>
      </c>
      <c r="J37" s="3" t="s">
        <v>564</v>
      </c>
      <c r="K37" s="1"/>
      <c r="L37" s="1"/>
      <c r="M37" s="1"/>
      <c r="N37" s="1"/>
      <c r="O37" s="1"/>
      <c r="P37" s="1"/>
      <c r="Q37" s="1"/>
      <c r="R37" s="1"/>
      <c r="S37" s="1"/>
      <c r="T37" s="1"/>
      <c r="U37" s="1"/>
      <c r="V37" s="1"/>
      <c r="W37" s="1"/>
      <c r="X37" s="1"/>
      <c r="Y37" s="1"/>
      <c r="Z37" s="1"/>
    </row>
    <row r="38" spans="1:26" ht="30" customHeight="1">
      <c r="A38" s="3" t="s">
        <v>554</v>
      </c>
      <c r="B38" s="3" t="s">
        <v>136</v>
      </c>
      <c r="C38" s="3" t="s">
        <v>555</v>
      </c>
      <c r="D38" s="3" t="s">
        <v>556</v>
      </c>
      <c r="E38" s="3" t="s">
        <v>565</v>
      </c>
      <c r="F38" s="3" t="s">
        <v>566</v>
      </c>
      <c r="G38" s="3" t="s">
        <v>567</v>
      </c>
      <c r="H38" s="3">
        <v>20</v>
      </c>
      <c r="I38" s="3" t="s">
        <v>63</v>
      </c>
      <c r="J38" s="3" t="s">
        <v>568</v>
      </c>
      <c r="K38" s="1"/>
      <c r="L38" s="1"/>
      <c r="M38" s="1"/>
      <c r="N38" s="1"/>
      <c r="O38" s="1"/>
      <c r="P38" s="1"/>
      <c r="Q38" s="1"/>
      <c r="R38" s="1"/>
      <c r="S38" s="1"/>
      <c r="T38" s="1"/>
      <c r="U38" s="1"/>
      <c r="V38" s="1"/>
      <c r="W38" s="1"/>
      <c r="X38" s="1"/>
      <c r="Y38" s="1"/>
      <c r="Z38" s="1"/>
    </row>
    <row r="39" spans="1:26" ht="30" customHeight="1">
      <c r="A39" s="3" t="s">
        <v>554</v>
      </c>
      <c r="B39" s="3" t="s">
        <v>136</v>
      </c>
      <c r="C39" s="3" t="s">
        <v>555</v>
      </c>
      <c r="D39" s="3" t="s">
        <v>556</v>
      </c>
      <c r="E39" s="3" t="s">
        <v>569</v>
      </c>
      <c r="F39" s="3" t="s">
        <v>570</v>
      </c>
      <c r="G39" s="3" t="s">
        <v>571</v>
      </c>
      <c r="H39" s="3">
        <v>20</v>
      </c>
      <c r="I39" s="3" t="s">
        <v>182</v>
      </c>
      <c r="J39" s="3" t="s">
        <v>572</v>
      </c>
      <c r="K39" s="1"/>
      <c r="L39" s="1"/>
      <c r="M39" s="1"/>
      <c r="N39" s="1"/>
      <c r="O39" s="1"/>
      <c r="P39" s="1"/>
      <c r="Q39" s="1"/>
      <c r="R39" s="1"/>
      <c r="S39" s="1"/>
      <c r="T39" s="1"/>
      <c r="U39" s="1"/>
      <c r="V39" s="1"/>
      <c r="W39" s="1"/>
      <c r="X39" s="1"/>
      <c r="Y39" s="1"/>
      <c r="Z39" s="1"/>
    </row>
    <row r="40" spans="1:26" ht="30" customHeight="1">
      <c r="A40" s="3" t="s">
        <v>554</v>
      </c>
      <c r="B40" s="3" t="s">
        <v>136</v>
      </c>
      <c r="C40" s="3" t="s">
        <v>555</v>
      </c>
      <c r="D40" s="3" t="s">
        <v>556</v>
      </c>
      <c r="E40" s="3" t="s">
        <v>429</v>
      </c>
      <c r="F40" s="3" t="s">
        <v>573</v>
      </c>
      <c r="G40" s="3" t="s">
        <v>574</v>
      </c>
      <c r="H40" s="3">
        <v>10</v>
      </c>
      <c r="I40" s="3" t="s">
        <v>246</v>
      </c>
      <c r="J40" s="3" t="s">
        <v>553</v>
      </c>
      <c r="K40" s="1"/>
      <c r="L40" s="1"/>
      <c r="M40" s="1"/>
      <c r="N40" s="1"/>
      <c r="O40" s="1"/>
      <c r="P40" s="1"/>
      <c r="Q40" s="1"/>
      <c r="R40" s="1"/>
      <c r="S40" s="1"/>
      <c r="T40" s="1"/>
      <c r="U40" s="1"/>
      <c r="V40" s="1"/>
      <c r="W40" s="1"/>
      <c r="X40" s="1"/>
      <c r="Y40" s="1"/>
      <c r="Z40" s="1"/>
    </row>
    <row r="41" spans="1:26" ht="30" customHeight="1">
      <c r="A41" s="3" t="s">
        <v>575</v>
      </c>
      <c r="B41" s="3" t="s">
        <v>285</v>
      </c>
      <c r="C41" s="3" t="s">
        <v>576</v>
      </c>
      <c r="D41" s="3" t="s">
        <v>577</v>
      </c>
      <c r="E41" s="3" t="s">
        <v>578</v>
      </c>
      <c r="F41" s="3" t="s">
        <v>579</v>
      </c>
      <c r="G41" s="3" t="s">
        <v>580</v>
      </c>
      <c r="H41" s="3">
        <v>15</v>
      </c>
      <c r="I41" s="3" t="s">
        <v>130</v>
      </c>
      <c r="J41" s="3" t="s">
        <v>581</v>
      </c>
      <c r="K41" s="1"/>
      <c r="L41" s="1"/>
      <c r="M41" s="1"/>
      <c r="N41" s="1"/>
      <c r="O41" s="1"/>
      <c r="P41" s="1"/>
      <c r="Q41" s="1"/>
      <c r="R41" s="1"/>
      <c r="S41" s="1"/>
      <c r="T41" s="1"/>
      <c r="U41" s="1"/>
      <c r="V41" s="1"/>
      <c r="W41" s="1"/>
      <c r="X41" s="1"/>
      <c r="Y41" s="1"/>
      <c r="Z41" s="1"/>
    </row>
    <row r="42" spans="1:26" ht="30" customHeight="1">
      <c r="A42" s="3" t="s">
        <v>575</v>
      </c>
      <c r="B42" s="3" t="s">
        <v>285</v>
      </c>
      <c r="C42" s="3" t="s">
        <v>576</v>
      </c>
      <c r="D42" s="3" t="s">
        <v>577</v>
      </c>
      <c r="E42" s="3" t="s">
        <v>582</v>
      </c>
      <c r="F42" s="3" t="s">
        <v>583</v>
      </c>
      <c r="G42" s="3" t="s">
        <v>584</v>
      </c>
      <c r="H42" s="3">
        <v>15</v>
      </c>
      <c r="I42" s="3" t="s">
        <v>585</v>
      </c>
      <c r="J42" s="3" t="s">
        <v>586</v>
      </c>
      <c r="K42" s="1"/>
      <c r="L42" s="1"/>
      <c r="M42" s="1"/>
      <c r="N42" s="1"/>
      <c r="O42" s="1"/>
      <c r="P42" s="1"/>
      <c r="Q42" s="1"/>
      <c r="R42" s="1"/>
      <c r="S42" s="1"/>
      <c r="T42" s="1"/>
      <c r="U42" s="1"/>
      <c r="V42" s="1"/>
      <c r="W42" s="1"/>
      <c r="X42" s="1"/>
      <c r="Y42" s="1"/>
      <c r="Z42" s="1"/>
    </row>
    <row r="43" spans="1:26" ht="30" customHeight="1">
      <c r="A43" s="3" t="s">
        <v>575</v>
      </c>
      <c r="B43" s="3" t="s">
        <v>285</v>
      </c>
      <c r="C43" s="3" t="s">
        <v>576</v>
      </c>
      <c r="D43" s="3" t="s">
        <v>577</v>
      </c>
      <c r="E43" s="3" t="s">
        <v>587</v>
      </c>
      <c r="F43" s="3" t="s">
        <v>588</v>
      </c>
      <c r="G43" s="3" t="s">
        <v>589</v>
      </c>
      <c r="H43" s="3">
        <v>20</v>
      </c>
      <c r="I43" s="3" t="s">
        <v>130</v>
      </c>
      <c r="J43" s="3" t="s">
        <v>590</v>
      </c>
      <c r="K43" s="1"/>
      <c r="L43" s="1"/>
      <c r="M43" s="1"/>
      <c r="N43" s="1"/>
      <c r="O43" s="1"/>
      <c r="P43" s="1"/>
      <c r="Q43" s="1"/>
      <c r="R43" s="1"/>
      <c r="S43" s="1"/>
      <c r="T43" s="1"/>
      <c r="U43" s="1"/>
      <c r="V43" s="1"/>
      <c r="W43" s="1"/>
      <c r="X43" s="1"/>
      <c r="Y43" s="1"/>
      <c r="Z43" s="1"/>
    </row>
    <row r="44" spans="1:26" ht="30" customHeight="1">
      <c r="A44" s="3" t="s">
        <v>575</v>
      </c>
      <c r="B44" s="3" t="s">
        <v>285</v>
      </c>
      <c r="C44" s="3" t="s">
        <v>576</v>
      </c>
      <c r="D44" s="3" t="s">
        <v>577</v>
      </c>
      <c r="E44" s="3" t="s">
        <v>591</v>
      </c>
      <c r="F44" s="3" t="s">
        <v>592</v>
      </c>
      <c r="G44" s="3" t="s">
        <v>593</v>
      </c>
      <c r="H44" s="3">
        <v>20</v>
      </c>
      <c r="I44" s="3" t="s">
        <v>594</v>
      </c>
      <c r="J44" s="3" t="s">
        <v>595</v>
      </c>
      <c r="K44" s="1"/>
      <c r="L44" s="1"/>
      <c r="M44" s="1"/>
      <c r="N44" s="1"/>
      <c r="O44" s="1"/>
      <c r="P44" s="1"/>
      <c r="Q44" s="1"/>
      <c r="R44" s="1"/>
      <c r="S44" s="1"/>
      <c r="T44" s="1"/>
      <c r="U44" s="1"/>
      <c r="V44" s="1"/>
      <c r="W44" s="1"/>
      <c r="X44" s="1"/>
      <c r="Y44" s="1"/>
      <c r="Z44" s="1"/>
    </row>
    <row r="45" spans="1:26" ht="30" customHeight="1">
      <c r="A45" s="3" t="s">
        <v>575</v>
      </c>
      <c r="B45" s="3" t="s">
        <v>285</v>
      </c>
      <c r="C45" s="3" t="s">
        <v>576</v>
      </c>
      <c r="D45" s="3" t="s">
        <v>577</v>
      </c>
      <c r="E45" s="3" t="s">
        <v>429</v>
      </c>
      <c r="F45" s="3" t="s">
        <v>596</v>
      </c>
      <c r="G45" s="3" t="s">
        <v>597</v>
      </c>
      <c r="H45" s="3">
        <v>10</v>
      </c>
      <c r="I45" s="3" t="s">
        <v>246</v>
      </c>
      <c r="J45" s="3" t="s">
        <v>553</v>
      </c>
      <c r="K45" s="1"/>
      <c r="L45" s="1"/>
      <c r="M45" s="1"/>
      <c r="N45" s="1"/>
      <c r="O45" s="1"/>
      <c r="P45" s="1"/>
      <c r="Q45" s="1"/>
      <c r="R45" s="1"/>
      <c r="S45" s="1"/>
      <c r="T45" s="1"/>
      <c r="U45" s="1"/>
      <c r="V45" s="1"/>
      <c r="W45" s="1"/>
      <c r="X45" s="1"/>
      <c r="Y45" s="1"/>
      <c r="Z45" s="1"/>
    </row>
    <row r="46" spans="1:26" ht="30" customHeight="1">
      <c r="A46" s="3" t="s">
        <v>598</v>
      </c>
      <c r="B46" s="3" t="s">
        <v>148</v>
      </c>
      <c r="C46" s="3" t="s">
        <v>599</v>
      </c>
      <c r="D46" s="3" t="s">
        <v>600</v>
      </c>
      <c r="E46" s="3" t="s">
        <v>601</v>
      </c>
      <c r="F46" s="3" t="s">
        <v>602</v>
      </c>
      <c r="G46" s="3" t="s">
        <v>461</v>
      </c>
      <c r="H46" s="3">
        <v>10</v>
      </c>
      <c r="I46" s="3" t="s">
        <v>63</v>
      </c>
      <c r="J46" s="3" t="s">
        <v>603</v>
      </c>
      <c r="K46" s="1"/>
      <c r="L46" s="1"/>
      <c r="M46" s="1"/>
      <c r="N46" s="1"/>
      <c r="O46" s="1"/>
      <c r="P46" s="1"/>
      <c r="Q46" s="1"/>
      <c r="R46" s="1"/>
      <c r="S46" s="1"/>
      <c r="T46" s="1"/>
      <c r="U46" s="1"/>
      <c r="V46" s="1"/>
      <c r="W46" s="1"/>
      <c r="X46" s="1"/>
      <c r="Y46" s="1"/>
      <c r="Z46" s="1"/>
    </row>
    <row r="47" spans="1:26" ht="30" customHeight="1">
      <c r="A47" s="3" t="s">
        <v>598</v>
      </c>
      <c r="B47" s="3" t="s">
        <v>148</v>
      </c>
      <c r="C47" s="3" t="s">
        <v>599</v>
      </c>
      <c r="D47" s="3" t="s">
        <v>600</v>
      </c>
      <c r="E47" s="3" t="s">
        <v>604</v>
      </c>
      <c r="F47" s="3" t="s">
        <v>605</v>
      </c>
      <c r="G47" s="3" t="s">
        <v>606</v>
      </c>
      <c r="H47" s="3">
        <v>25</v>
      </c>
      <c r="I47" s="3" t="s">
        <v>607</v>
      </c>
      <c r="J47" s="3" t="s">
        <v>608</v>
      </c>
      <c r="K47" s="1"/>
      <c r="L47" s="1"/>
      <c r="M47" s="1"/>
      <c r="N47" s="1"/>
      <c r="O47" s="1"/>
      <c r="P47" s="1"/>
      <c r="Q47" s="1"/>
      <c r="R47" s="1"/>
      <c r="S47" s="1"/>
      <c r="T47" s="1"/>
      <c r="U47" s="1"/>
      <c r="V47" s="1"/>
      <c r="W47" s="1"/>
      <c r="X47" s="1"/>
      <c r="Y47" s="1"/>
      <c r="Z47" s="1"/>
    </row>
    <row r="48" spans="1:26" ht="30" customHeight="1">
      <c r="A48" s="3" t="s">
        <v>598</v>
      </c>
      <c r="B48" s="3" t="s">
        <v>148</v>
      </c>
      <c r="C48" s="3" t="s">
        <v>599</v>
      </c>
      <c r="D48" s="3" t="s">
        <v>600</v>
      </c>
      <c r="E48" s="3" t="s">
        <v>609</v>
      </c>
      <c r="F48" s="3" t="s">
        <v>610</v>
      </c>
      <c r="G48" s="3" t="s">
        <v>611</v>
      </c>
      <c r="H48" s="3">
        <v>15</v>
      </c>
      <c r="I48" s="3" t="s">
        <v>63</v>
      </c>
      <c r="J48" s="3" t="s">
        <v>612</v>
      </c>
      <c r="K48" s="1"/>
      <c r="L48" s="1"/>
      <c r="M48" s="1"/>
      <c r="N48" s="1"/>
      <c r="O48" s="1"/>
      <c r="P48" s="1"/>
      <c r="Q48" s="1"/>
      <c r="R48" s="1"/>
      <c r="S48" s="1"/>
      <c r="T48" s="1"/>
      <c r="U48" s="1"/>
      <c r="V48" s="1"/>
      <c r="W48" s="1"/>
      <c r="X48" s="1"/>
      <c r="Y48" s="1"/>
      <c r="Z48" s="1"/>
    </row>
    <row r="49" spans="1:26" ht="30" customHeight="1">
      <c r="A49" s="3" t="s">
        <v>598</v>
      </c>
      <c r="B49" s="3" t="s">
        <v>148</v>
      </c>
      <c r="C49" s="3" t="s">
        <v>599</v>
      </c>
      <c r="D49" s="3" t="s">
        <v>600</v>
      </c>
      <c r="E49" s="3" t="s">
        <v>613</v>
      </c>
      <c r="F49" s="3" t="s">
        <v>614</v>
      </c>
      <c r="G49" s="3" t="s">
        <v>615</v>
      </c>
      <c r="H49" s="3">
        <v>20</v>
      </c>
      <c r="I49" s="3" t="s">
        <v>63</v>
      </c>
      <c r="J49" s="3" t="s">
        <v>616</v>
      </c>
      <c r="K49" s="1"/>
      <c r="L49" s="1"/>
      <c r="M49" s="1"/>
      <c r="N49" s="1"/>
      <c r="O49" s="1"/>
      <c r="P49" s="1"/>
      <c r="Q49" s="1"/>
      <c r="R49" s="1"/>
      <c r="S49" s="1"/>
      <c r="T49" s="1"/>
      <c r="U49" s="1"/>
      <c r="V49" s="1"/>
      <c r="W49" s="1"/>
      <c r="X49" s="1"/>
      <c r="Y49" s="1"/>
      <c r="Z49" s="1"/>
    </row>
    <row r="50" spans="1:26" ht="30" customHeight="1">
      <c r="A50" s="3" t="s">
        <v>598</v>
      </c>
      <c r="B50" s="3" t="s">
        <v>148</v>
      </c>
      <c r="C50" s="3" t="s">
        <v>599</v>
      </c>
      <c r="D50" s="3" t="s">
        <v>600</v>
      </c>
      <c r="E50" s="3" t="s">
        <v>429</v>
      </c>
      <c r="F50" s="3" t="s">
        <v>617</v>
      </c>
      <c r="G50" s="3" t="s">
        <v>618</v>
      </c>
      <c r="H50" s="3">
        <v>10</v>
      </c>
      <c r="I50" s="3" t="s">
        <v>246</v>
      </c>
      <c r="J50" s="3" t="s">
        <v>619</v>
      </c>
      <c r="K50" s="1"/>
      <c r="L50" s="1"/>
      <c r="M50" s="1"/>
      <c r="N50" s="1"/>
      <c r="O50" s="1"/>
      <c r="P50" s="1"/>
      <c r="Q50" s="1"/>
      <c r="R50" s="1"/>
      <c r="S50" s="1"/>
      <c r="T50" s="1"/>
      <c r="U50" s="1"/>
      <c r="V50" s="1"/>
      <c r="W50" s="1"/>
      <c r="X50" s="1"/>
      <c r="Y50" s="1"/>
      <c r="Z50" s="1"/>
    </row>
    <row r="51" spans="1:26" ht="30" customHeight="1">
      <c r="A51" s="3" t="s">
        <v>620</v>
      </c>
      <c r="B51" s="3" t="s">
        <v>297</v>
      </c>
      <c r="C51" s="3" t="s">
        <v>621</v>
      </c>
      <c r="D51" s="3" t="s">
        <v>622</v>
      </c>
      <c r="E51" s="3" t="s">
        <v>623</v>
      </c>
      <c r="F51" s="3" t="s">
        <v>624</v>
      </c>
      <c r="G51" s="3" t="s">
        <v>625</v>
      </c>
      <c r="H51" s="3">
        <v>15</v>
      </c>
      <c r="I51" s="3" t="s">
        <v>169</v>
      </c>
      <c r="J51" s="3" t="s">
        <v>581</v>
      </c>
      <c r="K51" s="1"/>
      <c r="L51" s="1"/>
      <c r="M51" s="1"/>
      <c r="N51" s="1"/>
      <c r="O51" s="1"/>
      <c r="P51" s="1"/>
      <c r="Q51" s="1"/>
      <c r="R51" s="1"/>
      <c r="S51" s="1"/>
      <c r="T51" s="1"/>
      <c r="U51" s="1"/>
      <c r="V51" s="1"/>
      <c r="W51" s="1"/>
      <c r="X51" s="1"/>
      <c r="Y51" s="1"/>
      <c r="Z51" s="1"/>
    </row>
    <row r="52" spans="1:26" ht="30" customHeight="1">
      <c r="A52" s="3" t="s">
        <v>620</v>
      </c>
      <c r="B52" s="3" t="s">
        <v>297</v>
      </c>
      <c r="C52" s="3" t="s">
        <v>621</v>
      </c>
      <c r="D52" s="3" t="s">
        <v>622</v>
      </c>
      <c r="E52" s="3" t="s">
        <v>626</v>
      </c>
      <c r="F52" s="3" t="s">
        <v>627</v>
      </c>
      <c r="G52" s="3" t="s">
        <v>628</v>
      </c>
      <c r="H52" s="3">
        <v>20</v>
      </c>
      <c r="I52" s="3" t="s">
        <v>169</v>
      </c>
      <c r="J52" s="3" t="s">
        <v>629</v>
      </c>
      <c r="K52" s="1"/>
      <c r="L52" s="1"/>
      <c r="M52" s="1"/>
      <c r="N52" s="1"/>
      <c r="O52" s="1"/>
      <c r="P52" s="1"/>
      <c r="Q52" s="1"/>
      <c r="R52" s="1"/>
      <c r="S52" s="1"/>
      <c r="T52" s="1"/>
      <c r="U52" s="1"/>
      <c r="V52" s="1"/>
      <c r="W52" s="1"/>
      <c r="X52" s="1"/>
      <c r="Y52" s="1"/>
      <c r="Z52" s="1"/>
    </row>
    <row r="53" spans="1:26" ht="30" customHeight="1">
      <c r="A53" s="3" t="s">
        <v>620</v>
      </c>
      <c r="B53" s="3" t="s">
        <v>297</v>
      </c>
      <c r="C53" s="3" t="s">
        <v>621</v>
      </c>
      <c r="D53" s="3" t="s">
        <v>622</v>
      </c>
      <c r="E53" s="3" t="s">
        <v>630</v>
      </c>
      <c r="F53" s="3" t="s">
        <v>631</v>
      </c>
      <c r="G53" s="3" t="s">
        <v>632</v>
      </c>
      <c r="H53" s="3">
        <v>20</v>
      </c>
      <c r="I53" s="3" t="s">
        <v>169</v>
      </c>
      <c r="J53" s="3" t="s">
        <v>633</v>
      </c>
      <c r="K53" s="1"/>
      <c r="L53" s="1"/>
      <c r="M53" s="1"/>
      <c r="N53" s="1"/>
      <c r="O53" s="1"/>
      <c r="P53" s="1"/>
      <c r="Q53" s="1"/>
      <c r="R53" s="1"/>
      <c r="S53" s="1"/>
      <c r="T53" s="1"/>
      <c r="U53" s="1"/>
      <c r="V53" s="1"/>
      <c r="W53" s="1"/>
      <c r="X53" s="1"/>
      <c r="Y53" s="1"/>
      <c r="Z53" s="1"/>
    </row>
    <row r="54" spans="1:26" ht="30" customHeight="1">
      <c r="A54" s="3" t="s">
        <v>620</v>
      </c>
      <c r="B54" s="3" t="s">
        <v>297</v>
      </c>
      <c r="C54" s="3" t="s">
        <v>621</v>
      </c>
      <c r="D54" s="3" t="s">
        <v>622</v>
      </c>
      <c r="E54" s="3" t="s">
        <v>634</v>
      </c>
      <c r="F54" s="3" t="s">
        <v>635</v>
      </c>
      <c r="G54" s="3" t="s">
        <v>636</v>
      </c>
      <c r="H54" s="3">
        <v>20</v>
      </c>
      <c r="I54" s="3" t="s">
        <v>637</v>
      </c>
      <c r="J54" s="3" t="s">
        <v>638</v>
      </c>
      <c r="K54" s="1"/>
      <c r="L54" s="1"/>
      <c r="M54" s="1"/>
      <c r="N54" s="1"/>
      <c r="O54" s="1"/>
      <c r="P54" s="1"/>
      <c r="Q54" s="1"/>
      <c r="R54" s="1"/>
      <c r="S54" s="1"/>
      <c r="T54" s="1"/>
      <c r="U54" s="1"/>
      <c r="V54" s="1"/>
      <c r="W54" s="1"/>
      <c r="X54" s="1"/>
      <c r="Y54" s="1"/>
      <c r="Z54" s="1"/>
    </row>
    <row r="55" spans="1:26" ht="30" customHeight="1">
      <c r="A55" s="3" t="s">
        <v>620</v>
      </c>
      <c r="B55" s="3" t="s">
        <v>297</v>
      </c>
      <c r="C55" s="3" t="s">
        <v>621</v>
      </c>
      <c r="D55" s="3" t="s">
        <v>622</v>
      </c>
      <c r="E55" s="3" t="s">
        <v>429</v>
      </c>
      <c r="F55" s="3" t="s">
        <v>639</v>
      </c>
      <c r="G55" s="3" t="s">
        <v>574</v>
      </c>
      <c r="H55" s="3">
        <v>10</v>
      </c>
      <c r="I55" s="3" t="s">
        <v>246</v>
      </c>
      <c r="J55" s="3" t="s">
        <v>553</v>
      </c>
      <c r="K55" s="1"/>
      <c r="L55" s="1"/>
      <c r="M55" s="1"/>
      <c r="N55" s="1"/>
      <c r="O55" s="1"/>
      <c r="P55" s="1"/>
      <c r="Q55" s="1"/>
      <c r="R55" s="1"/>
      <c r="S55" s="1"/>
      <c r="T55" s="1"/>
      <c r="U55" s="1"/>
      <c r="V55" s="1"/>
      <c r="W55" s="1"/>
      <c r="X55" s="1"/>
      <c r="Y55" s="1"/>
      <c r="Z55" s="1"/>
    </row>
    <row r="56" spans="1:26" ht="30" customHeight="1">
      <c r="A56" s="3" t="s">
        <v>640</v>
      </c>
      <c r="B56" s="3" t="s">
        <v>303</v>
      </c>
      <c r="C56" s="3" t="s">
        <v>641</v>
      </c>
      <c r="D56" s="3" t="s">
        <v>642</v>
      </c>
      <c r="E56" s="3" t="s">
        <v>643</v>
      </c>
      <c r="F56" s="3" t="s">
        <v>644</v>
      </c>
      <c r="G56" s="3" t="s">
        <v>645</v>
      </c>
      <c r="H56" s="3">
        <v>15</v>
      </c>
      <c r="I56" s="3" t="s">
        <v>646</v>
      </c>
      <c r="J56" s="3" t="s">
        <v>647</v>
      </c>
      <c r="K56" s="1"/>
      <c r="L56" s="1"/>
      <c r="M56" s="1"/>
      <c r="N56" s="1"/>
      <c r="O56" s="1"/>
      <c r="P56" s="1"/>
      <c r="Q56" s="1"/>
      <c r="R56" s="1"/>
      <c r="S56" s="1"/>
      <c r="T56" s="1"/>
      <c r="U56" s="1"/>
      <c r="V56" s="1"/>
      <c r="W56" s="1"/>
      <c r="X56" s="1"/>
      <c r="Y56" s="1"/>
      <c r="Z56" s="1"/>
    </row>
    <row r="57" spans="1:26" ht="30" customHeight="1">
      <c r="A57" s="3" t="s">
        <v>640</v>
      </c>
      <c r="B57" s="3" t="s">
        <v>303</v>
      </c>
      <c r="C57" s="3" t="s">
        <v>641</v>
      </c>
      <c r="D57" s="3" t="s">
        <v>642</v>
      </c>
      <c r="E57" s="3" t="s">
        <v>648</v>
      </c>
      <c r="F57" s="3" t="s">
        <v>649</v>
      </c>
      <c r="G57" s="3" t="s">
        <v>650</v>
      </c>
      <c r="H57" s="3">
        <v>25</v>
      </c>
      <c r="I57" s="3" t="s">
        <v>182</v>
      </c>
      <c r="J57" s="3" t="s">
        <v>651</v>
      </c>
      <c r="K57" s="1"/>
      <c r="L57" s="1"/>
      <c r="M57" s="1"/>
      <c r="N57" s="1"/>
      <c r="O57" s="1"/>
      <c r="P57" s="1"/>
      <c r="Q57" s="1"/>
      <c r="R57" s="1"/>
      <c r="S57" s="1"/>
      <c r="T57" s="1"/>
      <c r="U57" s="1"/>
      <c r="V57" s="1"/>
      <c r="W57" s="1"/>
      <c r="X57" s="1"/>
      <c r="Y57" s="1"/>
      <c r="Z57" s="1"/>
    </row>
    <row r="58" spans="1:26" ht="30" customHeight="1">
      <c r="A58" s="3" t="s">
        <v>640</v>
      </c>
      <c r="B58" s="3" t="s">
        <v>303</v>
      </c>
      <c r="C58" s="3" t="s">
        <v>641</v>
      </c>
      <c r="D58" s="3" t="s">
        <v>642</v>
      </c>
      <c r="E58" s="3" t="s">
        <v>652</v>
      </c>
      <c r="F58" s="3" t="s">
        <v>653</v>
      </c>
      <c r="G58" s="3" t="s">
        <v>654</v>
      </c>
      <c r="H58" s="3">
        <v>20</v>
      </c>
      <c r="I58" s="3" t="s">
        <v>182</v>
      </c>
      <c r="J58" s="3" t="s">
        <v>655</v>
      </c>
      <c r="K58" s="1"/>
      <c r="L58" s="1"/>
      <c r="M58" s="1"/>
      <c r="N58" s="1"/>
      <c r="O58" s="1"/>
      <c r="P58" s="1"/>
      <c r="Q58" s="1"/>
      <c r="R58" s="1"/>
      <c r="S58" s="1"/>
      <c r="T58" s="1"/>
      <c r="U58" s="1"/>
      <c r="V58" s="1"/>
      <c r="W58" s="1"/>
      <c r="X58" s="1"/>
      <c r="Y58" s="1"/>
      <c r="Z58" s="1"/>
    </row>
    <row r="59" spans="1:26" ht="30" customHeight="1">
      <c r="A59" s="3" t="s">
        <v>640</v>
      </c>
      <c r="B59" s="3" t="s">
        <v>303</v>
      </c>
      <c r="C59" s="3" t="s">
        <v>641</v>
      </c>
      <c r="D59" s="3" t="s">
        <v>642</v>
      </c>
      <c r="E59" s="3" t="s">
        <v>656</v>
      </c>
      <c r="F59" s="3" t="s">
        <v>657</v>
      </c>
      <c r="G59" s="3" t="s">
        <v>658</v>
      </c>
      <c r="H59" s="3">
        <v>15</v>
      </c>
      <c r="I59" s="3" t="s">
        <v>194</v>
      </c>
      <c r="J59" s="3" t="s">
        <v>659</v>
      </c>
      <c r="K59" s="1"/>
      <c r="L59" s="1"/>
      <c r="M59" s="1"/>
      <c r="N59" s="1"/>
      <c r="O59" s="1"/>
      <c r="P59" s="1"/>
      <c r="Q59" s="1"/>
      <c r="R59" s="1"/>
      <c r="S59" s="1"/>
      <c r="T59" s="1"/>
      <c r="U59" s="1"/>
      <c r="V59" s="1"/>
      <c r="W59" s="1"/>
      <c r="X59" s="1"/>
      <c r="Y59" s="1"/>
      <c r="Z59" s="1"/>
    </row>
    <row r="60" spans="1:26" ht="30" customHeight="1">
      <c r="A60" s="3" t="s">
        <v>640</v>
      </c>
      <c r="B60" s="3" t="s">
        <v>303</v>
      </c>
      <c r="C60" s="3" t="s">
        <v>641</v>
      </c>
      <c r="D60" s="3" t="s">
        <v>642</v>
      </c>
      <c r="E60" s="3" t="s">
        <v>429</v>
      </c>
      <c r="F60" s="3" t="s">
        <v>660</v>
      </c>
      <c r="G60" s="3" t="s">
        <v>661</v>
      </c>
      <c r="H60" s="3">
        <v>10</v>
      </c>
      <c r="I60" s="3" t="s">
        <v>246</v>
      </c>
      <c r="J60" s="3" t="s">
        <v>619</v>
      </c>
      <c r="K60" s="1"/>
      <c r="L60" s="1"/>
      <c r="M60" s="1"/>
      <c r="N60" s="1"/>
      <c r="O60" s="1"/>
      <c r="P60" s="1"/>
      <c r="Q60" s="1"/>
      <c r="R60" s="1"/>
      <c r="S60" s="1"/>
      <c r="T60" s="1"/>
      <c r="U60" s="1"/>
      <c r="V60" s="1"/>
      <c r="W60" s="1"/>
      <c r="X60" s="1"/>
      <c r="Y60" s="1"/>
      <c r="Z60" s="1"/>
    </row>
    <row r="61" spans="1:26" ht="30" customHeight="1">
      <c r="A61" s="3" t="s">
        <v>662</v>
      </c>
      <c r="B61" s="3" t="s">
        <v>663</v>
      </c>
      <c r="C61" s="3" t="s">
        <v>664</v>
      </c>
      <c r="D61" s="3" t="s">
        <v>665</v>
      </c>
      <c r="E61" s="3" t="s">
        <v>666</v>
      </c>
      <c r="F61" s="3" t="s">
        <v>667</v>
      </c>
      <c r="G61" s="3" t="s">
        <v>668</v>
      </c>
      <c r="H61" s="3">
        <v>20</v>
      </c>
      <c r="I61" s="3" t="s">
        <v>669</v>
      </c>
      <c r="J61" s="3" t="s">
        <v>670</v>
      </c>
      <c r="K61" s="1"/>
      <c r="L61" s="1"/>
      <c r="M61" s="1"/>
      <c r="N61" s="1"/>
      <c r="O61" s="1"/>
      <c r="P61" s="1"/>
      <c r="Q61" s="1"/>
      <c r="R61" s="1"/>
      <c r="S61" s="1"/>
      <c r="T61" s="1"/>
      <c r="U61" s="1"/>
      <c r="V61" s="1"/>
      <c r="W61" s="1"/>
      <c r="X61" s="1"/>
      <c r="Y61" s="1"/>
      <c r="Z61" s="1"/>
    </row>
    <row r="62" spans="1:26" ht="30" customHeight="1">
      <c r="A62" s="3" t="s">
        <v>662</v>
      </c>
      <c r="B62" s="3" t="s">
        <v>663</v>
      </c>
      <c r="C62" s="3" t="s">
        <v>664</v>
      </c>
      <c r="D62" s="3" t="s">
        <v>665</v>
      </c>
      <c r="E62" s="3" t="s">
        <v>671</v>
      </c>
      <c r="F62" s="3" t="s">
        <v>672</v>
      </c>
      <c r="G62" s="3" t="s">
        <v>673</v>
      </c>
      <c r="H62" s="3">
        <v>20</v>
      </c>
      <c r="I62" s="3" t="s">
        <v>669</v>
      </c>
      <c r="J62" s="3" t="s">
        <v>674</v>
      </c>
      <c r="K62" s="1"/>
      <c r="L62" s="1"/>
      <c r="M62" s="1"/>
      <c r="N62" s="1"/>
      <c r="O62" s="1"/>
      <c r="P62" s="1"/>
      <c r="Q62" s="1"/>
      <c r="R62" s="1"/>
      <c r="S62" s="1"/>
      <c r="T62" s="1"/>
      <c r="U62" s="1"/>
      <c r="V62" s="1"/>
      <c r="W62" s="1"/>
      <c r="X62" s="1"/>
      <c r="Y62" s="1"/>
      <c r="Z62" s="1"/>
    </row>
    <row r="63" spans="1:26" ht="30" customHeight="1">
      <c r="A63" s="3" t="s">
        <v>662</v>
      </c>
      <c r="B63" s="3" t="s">
        <v>663</v>
      </c>
      <c r="C63" s="3" t="s">
        <v>664</v>
      </c>
      <c r="D63" s="3" t="s">
        <v>665</v>
      </c>
      <c r="E63" s="3" t="s">
        <v>675</v>
      </c>
      <c r="F63" s="3" t="s">
        <v>676</v>
      </c>
      <c r="G63" s="3" t="s">
        <v>677</v>
      </c>
      <c r="H63" s="3">
        <v>15</v>
      </c>
      <c r="I63" s="3" t="s">
        <v>678</v>
      </c>
      <c r="J63" s="3" t="s">
        <v>679</v>
      </c>
      <c r="K63" s="1"/>
      <c r="L63" s="1"/>
      <c r="M63" s="1"/>
      <c r="N63" s="1"/>
      <c r="O63" s="1"/>
      <c r="P63" s="1"/>
      <c r="Q63" s="1"/>
      <c r="R63" s="1"/>
      <c r="S63" s="1"/>
      <c r="T63" s="1"/>
      <c r="U63" s="1"/>
      <c r="V63" s="1"/>
      <c r="W63" s="1"/>
      <c r="X63" s="1"/>
      <c r="Y63" s="1"/>
      <c r="Z63" s="1"/>
    </row>
    <row r="64" spans="1:26" ht="30" customHeight="1">
      <c r="A64" s="3" t="s">
        <v>662</v>
      </c>
      <c r="B64" s="3" t="s">
        <v>663</v>
      </c>
      <c r="C64" s="3" t="s">
        <v>664</v>
      </c>
      <c r="D64" s="3" t="s">
        <v>665</v>
      </c>
      <c r="E64" s="3" t="s">
        <v>680</v>
      </c>
      <c r="F64" s="3" t="s">
        <v>681</v>
      </c>
      <c r="G64" s="3" t="s">
        <v>682</v>
      </c>
      <c r="H64" s="3">
        <v>20</v>
      </c>
      <c r="I64" s="3" t="s">
        <v>475</v>
      </c>
      <c r="J64" s="3" t="s">
        <v>683</v>
      </c>
      <c r="K64" s="1"/>
      <c r="L64" s="1"/>
      <c r="M64" s="1"/>
      <c r="N64" s="1"/>
      <c r="O64" s="1"/>
      <c r="P64" s="1"/>
      <c r="Q64" s="1"/>
      <c r="R64" s="1"/>
      <c r="S64" s="1"/>
      <c r="T64" s="1"/>
      <c r="U64" s="1"/>
      <c r="V64" s="1"/>
      <c r="W64" s="1"/>
      <c r="X64" s="1"/>
      <c r="Y64" s="1"/>
      <c r="Z64" s="1"/>
    </row>
    <row r="65" spans="1:26" ht="30" customHeight="1">
      <c r="A65" s="3" t="s">
        <v>662</v>
      </c>
      <c r="B65" s="3" t="s">
        <v>663</v>
      </c>
      <c r="C65" s="3" t="s">
        <v>664</v>
      </c>
      <c r="D65" s="3" t="s">
        <v>665</v>
      </c>
      <c r="E65" s="3" t="s">
        <v>429</v>
      </c>
      <c r="F65" s="3" t="s">
        <v>684</v>
      </c>
      <c r="G65" s="3" t="s">
        <v>619</v>
      </c>
      <c r="H65" s="3">
        <v>10</v>
      </c>
      <c r="I65" s="3" t="s">
        <v>246</v>
      </c>
      <c r="J65" s="3" t="s">
        <v>553</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9"/>
  <sheetViews>
    <sheetView zoomScale="85" zoomScaleNormal="85" workbookViewId="0">
      <selection activeCell="D12" sqref="D12"/>
    </sheetView>
  </sheetViews>
  <sheetFormatPr defaultRowHeight="14.25"/>
  <cols>
    <col min="1" max="1" width="8.5" bestFit="1" customWidth="1"/>
    <col min="2" max="2" width="11" bestFit="1" customWidth="1"/>
    <col min="3" max="3" width="18.625" bestFit="1" customWidth="1"/>
    <col min="4" max="4" width="27.25" bestFit="1" customWidth="1"/>
    <col min="5" max="8" width="33.375" customWidth="1"/>
    <col min="9" max="9" width="12.875" bestFit="1" customWidth="1"/>
    <col min="10" max="10" width="15.375" bestFit="1" customWidth="1"/>
    <col min="11" max="11" width="16" bestFit="1" customWidth="1"/>
    <col min="12" max="12" width="13.375" bestFit="1" customWidth="1"/>
    <col min="13" max="13" width="12.75" bestFit="1" customWidth="1"/>
    <col min="14" max="14" width="14.375" bestFit="1" customWidth="1"/>
    <col min="15" max="15" width="10.625" bestFit="1" customWidth="1"/>
    <col min="16" max="16" width="11.25" bestFit="1" customWidth="1"/>
    <col min="17" max="17" width="33.375" customWidth="1"/>
  </cols>
  <sheetData>
    <row r="1" spans="1:17" ht="18.75">
      <c r="A1" s="227" t="s">
        <v>311</v>
      </c>
      <c r="B1" s="227"/>
      <c r="C1" s="227"/>
      <c r="D1" s="227"/>
      <c r="E1" s="227"/>
      <c r="F1" s="227"/>
      <c r="G1" s="227"/>
      <c r="H1" s="227"/>
      <c r="I1" s="227"/>
      <c r="J1" s="227"/>
      <c r="K1" s="227"/>
      <c r="L1" s="227"/>
      <c r="M1" s="227"/>
      <c r="N1" s="227"/>
      <c r="O1" s="227"/>
      <c r="P1" s="227"/>
      <c r="Q1" s="227"/>
    </row>
    <row r="2" spans="1:17" s="100" customFormat="1"/>
    <row r="3" spans="1:17">
      <c r="A3" s="230" t="s">
        <v>313</v>
      </c>
      <c r="B3" s="230"/>
      <c r="C3" s="230"/>
      <c r="D3" s="230"/>
      <c r="E3" s="230"/>
      <c r="F3" s="230"/>
      <c r="G3" s="230"/>
      <c r="H3" s="230"/>
      <c r="I3" s="230"/>
      <c r="J3" s="230"/>
      <c r="K3" s="230"/>
      <c r="L3" s="230"/>
      <c r="M3" s="230"/>
      <c r="N3" s="230"/>
      <c r="O3" s="230"/>
      <c r="P3" s="230"/>
      <c r="Q3" s="230"/>
    </row>
    <row r="4" spans="1:17">
      <c r="A4" s="223" t="s">
        <v>314</v>
      </c>
      <c r="B4" s="223"/>
      <c r="C4" s="223"/>
      <c r="D4" s="223"/>
      <c r="F4" s="231" t="s">
        <v>685</v>
      </c>
      <c r="G4" s="231"/>
      <c r="H4" s="231"/>
      <c r="I4" s="231"/>
      <c r="K4" s="224"/>
      <c r="L4" s="224"/>
      <c r="N4" s="223" t="s">
        <v>316</v>
      </c>
      <c r="O4" s="223"/>
      <c r="P4" s="223"/>
      <c r="Q4" s="223"/>
    </row>
    <row r="5" spans="1:17">
      <c r="A5" s="236">
        <f>ROWS(tblSchedulingPriority[Stakeholder])</f>
        <v>12</v>
      </c>
      <c r="B5" s="226"/>
      <c r="C5" s="226"/>
      <c r="D5" s="226"/>
      <c r="F5" s="226">
        <v>4</v>
      </c>
      <c r="G5" s="226"/>
      <c r="H5" s="226"/>
      <c r="I5" s="226"/>
      <c r="K5" s="224"/>
      <c r="L5" s="224"/>
      <c r="N5" s="226">
        <v>14</v>
      </c>
      <c r="O5" s="226"/>
      <c r="P5" s="226"/>
      <c r="Q5" s="226"/>
    </row>
    <row r="7" spans="1:17" ht="27">
      <c r="A7" s="20" t="s">
        <v>317</v>
      </c>
      <c r="B7" s="20" t="s">
        <v>29</v>
      </c>
      <c r="C7" s="20" t="s">
        <v>318</v>
      </c>
      <c r="D7" s="20" t="s">
        <v>319</v>
      </c>
      <c r="E7" s="20" t="s">
        <v>686</v>
      </c>
      <c r="F7" s="57" t="s">
        <v>321</v>
      </c>
      <c r="G7" s="57" t="s">
        <v>402</v>
      </c>
      <c r="H7" s="20" t="s">
        <v>323</v>
      </c>
      <c r="I7" s="20" t="s">
        <v>324</v>
      </c>
      <c r="J7" s="20" t="s">
        <v>325</v>
      </c>
      <c r="K7" s="20" t="s">
        <v>326</v>
      </c>
      <c r="L7" s="20" t="s">
        <v>327</v>
      </c>
      <c r="M7" s="20" t="s">
        <v>328</v>
      </c>
      <c r="N7" s="20" t="s">
        <v>329</v>
      </c>
      <c r="O7" s="20" t="s">
        <v>236</v>
      </c>
      <c r="P7" s="20" t="s">
        <v>330</v>
      </c>
      <c r="Q7" s="57" t="s">
        <v>331</v>
      </c>
    </row>
    <row r="8" spans="1:17" s="94" customFormat="1" ht="81">
      <c r="A8" s="89">
        <v>4</v>
      </c>
      <c r="B8" s="90" t="s">
        <v>44</v>
      </c>
      <c r="C8" s="90" t="s">
        <v>332</v>
      </c>
      <c r="D8" s="91" t="s">
        <v>351</v>
      </c>
      <c r="E8" s="91" t="s">
        <v>687</v>
      </c>
      <c r="F8" s="96" t="s">
        <v>688</v>
      </c>
      <c r="G8" s="91" t="s">
        <v>689</v>
      </c>
      <c r="H8" s="91" t="s">
        <v>355</v>
      </c>
      <c r="I8" s="90" t="s">
        <v>356</v>
      </c>
      <c r="J8" s="24">
        <v>46292</v>
      </c>
      <c r="K8" s="92">
        <v>46219</v>
      </c>
      <c r="L8" s="92">
        <f>IF(ISBLANK($J8),"",WORKDAY($J8,-1))</f>
        <v>46290</v>
      </c>
      <c r="M8" s="92">
        <f>IF(ISBLANK($J8),"",WORKDAY($J8,1))</f>
        <v>46293</v>
      </c>
      <c r="N8" s="93" t="s">
        <v>339</v>
      </c>
      <c r="O8" s="93" t="s">
        <v>349</v>
      </c>
      <c r="P8" s="89" t="s">
        <v>341</v>
      </c>
      <c r="Q8" s="91"/>
    </row>
    <row r="9" spans="1:17" s="94" customFormat="1" ht="81">
      <c r="A9" s="89">
        <v>5</v>
      </c>
      <c r="B9" s="95" t="s">
        <v>44</v>
      </c>
      <c r="C9" s="90" t="s">
        <v>332</v>
      </c>
      <c r="D9" s="91" t="s">
        <v>358</v>
      </c>
      <c r="E9" s="91" t="s">
        <v>687</v>
      </c>
      <c r="F9" s="96" t="s">
        <v>688</v>
      </c>
      <c r="G9" s="91" t="s">
        <v>361</v>
      </c>
      <c r="H9" s="91" t="s">
        <v>362</v>
      </c>
      <c r="I9" s="90" t="s">
        <v>356</v>
      </c>
      <c r="J9" s="24">
        <v>46292</v>
      </c>
      <c r="K9" s="92">
        <v>46219</v>
      </c>
      <c r="L9" s="92">
        <f>IF(ISBLANK($J9),"",WORKDAY($J9,-1))</f>
        <v>46290</v>
      </c>
      <c r="M9" s="92">
        <f>IF(ISBLANK($J9),"",WORKDAY($J9,1))</f>
        <v>46293</v>
      </c>
      <c r="N9" s="93" t="s">
        <v>339</v>
      </c>
      <c r="O9" s="93" t="s">
        <v>349</v>
      </c>
      <c r="P9" s="89" t="s">
        <v>341</v>
      </c>
      <c r="Q9" s="91"/>
    </row>
    <row r="10" spans="1:17" s="94" customFormat="1" ht="81">
      <c r="A10" s="89">
        <v>6</v>
      </c>
      <c r="B10" s="95" t="s">
        <v>44</v>
      </c>
      <c r="C10" s="90" t="s">
        <v>332</v>
      </c>
      <c r="D10" s="91" t="s">
        <v>364</v>
      </c>
      <c r="E10" s="91" t="s">
        <v>687</v>
      </c>
      <c r="F10" s="91" t="s">
        <v>366</v>
      </c>
      <c r="G10" s="91" t="s">
        <v>690</v>
      </c>
      <c r="H10" s="91" t="s">
        <v>368</v>
      </c>
      <c r="I10" s="90" t="s">
        <v>356</v>
      </c>
      <c r="J10" s="24">
        <v>46292</v>
      </c>
      <c r="K10" s="92">
        <v>46219</v>
      </c>
      <c r="L10" s="92">
        <f>IF(ISBLANK($J10),"",WORKDAY($J10,-1))</f>
        <v>46290</v>
      </c>
      <c r="M10" s="92">
        <f>IF(ISBLANK($J10),"",WORKDAY($J10,1))</f>
        <v>46293</v>
      </c>
      <c r="N10" s="93" t="s">
        <v>339</v>
      </c>
      <c r="O10" s="93" t="s">
        <v>349</v>
      </c>
      <c r="P10" s="89" t="s">
        <v>341</v>
      </c>
      <c r="Q10" s="91"/>
    </row>
    <row r="11" spans="1:17" s="94" customFormat="1" ht="81">
      <c r="A11" s="89">
        <v>7</v>
      </c>
      <c r="B11" s="95" t="s">
        <v>44</v>
      </c>
      <c r="C11" s="90" t="s">
        <v>332</v>
      </c>
      <c r="D11" s="91" t="s">
        <v>371</v>
      </c>
      <c r="E11" s="91" t="s">
        <v>687</v>
      </c>
      <c r="F11" s="91" t="s">
        <v>373</v>
      </c>
      <c r="G11" s="91" t="s">
        <v>374</v>
      </c>
      <c r="H11" s="91" t="s">
        <v>375</v>
      </c>
      <c r="I11" s="90" t="s">
        <v>356</v>
      </c>
      <c r="J11" s="24">
        <v>46292</v>
      </c>
      <c r="K11" s="92">
        <v>46219</v>
      </c>
      <c r="L11" s="92">
        <f>IF(ISBLANK($J11),"",WORKDAY($J11,-1))</f>
        <v>46290</v>
      </c>
      <c r="M11" s="92">
        <f>IF(ISBLANK($J11),"",WORKDAY($J11,1))</f>
        <v>46293</v>
      </c>
      <c r="N11" s="93" t="s">
        <v>339</v>
      </c>
      <c r="O11" s="93" t="s">
        <v>349</v>
      </c>
      <c r="P11" s="89" t="s">
        <v>341</v>
      </c>
      <c r="Q11" s="91"/>
    </row>
    <row r="12" spans="1:17" ht="135">
      <c r="A12" s="39">
        <v>8</v>
      </c>
      <c r="B12" s="88" t="s">
        <v>44</v>
      </c>
      <c r="C12" s="40" t="s">
        <v>332</v>
      </c>
      <c r="D12" s="41" t="s">
        <v>97</v>
      </c>
      <c r="E12" s="98" t="s">
        <v>691</v>
      </c>
      <c r="F12" s="41" t="s">
        <v>378</v>
      </c>
      <c r="G12" s="41" t="s">
        <v>692</v>
      </c>
      <c r="H12" s="41" t="s">
        <v>380</v>
      </c>
      <c r="I12" s="22" t="s">
        <v>356</v>
      </c>
      <c r="J12" s="42">
        <v>46295</v>
      </c>
      <c r="K12" s="43">
        <v>46222</v>
      </c>
      <c r="L12" s="43">
        <f t="shared" ref="L12:L15" si="0">IF(ISBLANK($J12),"",WORKDAY($J12,-1))</f>
        <v>46294</v>
      </c>
      <c r="M12" s="43">
        <f t="shared" ref="M12:M15" si="1">IF(ISBLANK($J12),"",WORKDAY($J12,1))</f>
        <v>46296</v>
      </c>
      <c r="N12" s="44" t="s">
        <v>339</v>
      </c>
      <c r="O12" s="44" t="s">
        <v>349</v>
      </c>
      <c r="P12" s="39" t="s">
        <v>341</v>
      </c>
      <c r="Q12" s="23"/>
    </row>
    <row r="13" spans="1:17" ht="135">
      <c r="A13" s="21">
        <v>9</v>
      </c>
      <c r="B13" s="88" t="s">
        <v>44</v>
      </c>
      <c r="C13" s="22" t="s">
        <v>332</v>
      </c>
      <c r="D13" s="23" t="s">
        <v>382</v>
      </c>
      <c r="E13" s="41" t="s">
        <v>691</v>
      </c>
      <c r="F13" s="23" t="s">
        <v>384</v>
      </c>
      <c r="G13" s="41" t="s">
        <v>692</v>
      </c>
      <c r="H13" s="23" t="s">
        <v>386</v>
      </c>
      <c r="I13" s="22" t="s">
        <v>356</v>
      </c>
      <c r="J13" s="42">
        <v>46295</v>
      </c>
      <c r="K13" s="43">
        <v>46222</v>
      </c>
      <c r="L13" s="25">
        <f t="shared" si="0"/>
        <v>46294</v>
      </c>
      <c r="M13" s="25">
        <f t="shared" si="1"/>
        <v>46296</v>
      </c>
      <c r="N13" s="26" t="s">
        <v>339</v>
      </c>
      <c r="O13" s="26" t="s">
        <v>349</v>
      </c>
      <c r="P13" s="21" t="s">
        <v>341</v>
      </c>
      <c r="Q13" s="23"/>
    </row>
    <row r="14" spans="1:17" ht="135">
      <c r="A14" s="21">
        <v>10</v>
      </c>
      <c r="B14" s="97" t="s">
        <v>693</v>
      </c>
      <c r="C14" s="22" t="s">
        <v>332</v>
      </c>
      <c r="D14" s="23" t="s">
        <v>388</v>
      </c>
      <c r="E14" s="99" t="s">
        <v>694</v>
      </c>
      <c r="F14" s="23" t="s">
        <v>390</v>
      </c>
      <c r="G14" s="23" t="s">
        <v>692</v>
      </c>
      <c r="H14" s="23" t="s">
        <v>392</v>
      </c>
      <c r="I14" s="22" t="s">
        <v>356</v>
      </c>
      <c r="J14" s="45">
        <v>46295</v>
      </c>
      <c r="K14" s="46">
        <v>46222</v>
      </c>
      <c r="L14" s="25">
        <f t="shared" si="0"/>
        <v>46294</v>
      </c>
      <c r="M14" s="25">
        <f t="shared" si="1"/>
        <v>46296</v>
      </c>
      <c r="N14" s="26" t="s">
        <v>339</v>
      </c>
      <c r="O14" s="26" t="s">
        <v>349</v>
      </c>
      <c r="P14" s="21" t="s">
        <v>341</v>
      </c>
      <c r="Q14" s="23" t="s">
        <v>387</v>
      </c>
    </row>
    <row r="15" spans="1:17" ht="135">
      <c r="A15" s="47">
        <v>11</v>
      </c>
      <c r="B15" s="209" t="s">
        <v>693</v>
      </c>
      <c r="C15" s="48" t="s">
        <v>332</v>
      </c>
      <c r="D15" s="49" t="s">
        <v>393</v>
      </c>
      <c r="E15" s="210" t="s">
        <v>694</v>
      </c>
      <c r="F15" s="49" t="s">
        <v>395</v>
      </c>
      <c r="G15" s="49" t="s">
        <v>695</v>
      </c>
      <c r="H15" s="49" t="s">
        <v>397</v>
      </c>
      <c r="I15" s="48" t="s">
        <v>356</v>
      </c>
      <c r="J15" s="211">
        <v>46295</v>
      </c>
      <c r="K15" s="212">
        <v>46222</v>
      </c>
      <c r="L15" s="50">
        <f t="shared" si="0"/>
        <v>46294</v>
      </c>
      <c r="M15" s="50">
        <f t="shared" si="1"/>
        <v>46296</v>
      </c>
      <c r="N15" s="51" t="s">
        <v>339</v>
      </c>
      <c r="O15" s="44" t="s">
        <v>349</v>
      </c>
      <c r="P15" s="47" t="s">
        <v>341</v>
      </c>
      <c r="Q15" s="49" t="s">
        <v>398</v>
      </c>
    </row>
    <row r="16" spans="1:17" ht="135" customHeight="1">
      <c r="A16" s="21">
        <v>12</v>
      </c>
      <c r="B16" s="97" t="s">
        <v>44</v>
      </c>
      <c r="C16" s="22" t="s">
        <v>332</v>
      </c>
      <c r="D16" s="23" t="s">
        <v>1900</v>
      </c>
      <c r="E16" s="99"/>
      <c r="F16" s="23" t="s">
        <v>1857</v>
      </c>
      <c r="G16" s="23" t="s">
        <v>1858</v>
      </c>
      <c r="H16" s="23" t="s">
        <v>1859</v>
      </c>
      <c r="I16" s="22" t="s">
        <v>1860</v>
      </c>
      <c r="J16" s="45">
        <v>46324</v>
      </c>
      <c r="K16" s="46">
        <v>46321</v>
      </c>
      <c r="L16" s="25">
        <v>46323</v>
      </c>
      <c r="M16" s="25">
        <v>46327</v>
      </c>
      <c r="N16" s="26" t="s">
        <v>339</v>
      </c>
      <c r="O16" s="26" t="s">
        <v>349</v>
      </c>
      <c r="P16" s="21" t="s">
        <v>341</v>
      </c>
      <c r="Q16" s="23" t="s">
        <v>1861</v>
      </c>
    </row>
    <row r="17" spans="1:17" ht="135" customHeight="1">
      <c r="A17" s="47">
        <v>13</v>
      </c>
      <c r="B17" s="209" t="s">
        <v>44</v>
      </c>
      <c r="C17" s="48" t="s">
        <v>332</v>
      </c>
      <c r="D17" s="49" t="s">
        <v>1862</v>
      </c>
      <c r="E17" s="210"/>
      <c r="F17" s="49" t="s">
        <v>1863</v>
      </c>
      <c r="G17" s="49" t="s">
        <v>1864</v>
      </c>
      <c r="H17" s="49" t="s">
        <v>1865</v>
      </c>
      <c r="I17" s="48" t="s">
        <v>1866</v>
      </c>
      <c r="J17" s="211">
        <v>46363</v>
      </c>
      <c r="K17" s="212">
        <v>46358</v>
      </c>
      <c r="L17" s="50">
        <v>46362</v>
      </c>
      <c r="M17" s="50">
        <v>46364</v>
      </c>
      <c r="N17" s="51" t="s">
        <v>339</v>
      </c>
      <c r="O17" s="44" t="s">
        <v>349</v>
      </c>
      <c r="P17" s="47" t="s">
        <v>341</v>
      </c>
      <c r="Q17" s="49" t="s">
        <v>1867</v>
      </c>
    </row>
    <row r="18" spans="1:17" ht="135" customHeight="1">
      <c r="A18" s="21">
        <v>14</v>
      </c>
      <c r="B18" s="97" t="s">
        <v>44</v>
      </c>
      <c r="C18" s="22" t="s">
        <v>332</v>
      </c>
      <c r="D18" s="23" t="s">
        <v>1868</v>
      </c>
      <c r="E18" s="99"/>
      <c r="F18" s="23" t="s">
        <v>1869</v>
      </c>
      <c r="G18" s="23" t="s">
        <v>1870</v>
      </c>
      <c r="H18" s="23" t="s">
        <v>1871</v>
      </c>
      <c r="I18" s="22" t="s">
        <v>1866</v>
      </c>
      <c r="J18" s="45">
        <v>46366</v>
      </c>
      <c r="K18" s="46">
        <v>46363</v>
      </c>
      <c r="L18" s="25">
        <v>46365</v>
      </c>
      <c r="M18" s="25">
        <v>46369</v>
      </c>
      <c r="N18" s="26" t="s">
        <v>339</v>
      </c>
      <c r="O18" s="26" t="s">
        <v>349</v>
      </c>
      <c r="P18" s="21" t="s">
        <v>341</v>
      </c>
      <c r="Q18" s="23" t="s">
        <v>1872</v>
      </c>
    </row>
    <row r="19" spans="1:17" ht="135" customHeight="1">
      <c r="A19" s="47">
        <v>15</v>
      </c>
      <c r="B19" s="209" t="s">
        <v>44</v>
      </c>
      <c r="C19" s="48" t="s">
        <v>332</v>
      </c>
      <c r="D19" s="49" t="s">
        <v>1873</v>
      </c>
      <c r="E19" s="210"/>
      <c r="F19" s="49" t="s">
        <v>1874</v>
      </c>
      <c r="G19" s="49" t="s">
        <v>1875</v>
      </c>
      <c r="H19" s="49" t="s">
        <v>1876</v>
      </c>
      <c r="I19" s="48" t="s">
        <v>1866</v>
      </c>
      <c r="J19" s="211">
        <v>46371</v>
      </c>
      <c r="K19" s="212">
        <v>46366</v>
      </c>
      <c r="L19" s="50">
        <v>46370</v>
      </c>
      <c r="M19" s="50">
        <v>46372</v>
      </c>
      <c r="N19" s="51" t="s">
        <v>339</v>
      </c>
      <c r="O19" s="44" t="s">
        <v>349</v>
      </c>
      <c r="P19" s="47" t="s">
        <v>341</v>
      </c>
      <c r="Q19" s="49" t="s">
        <v>1877</v>
      </c>
    </row>
  </sheetData>
  <mergeCells count="10">
    <mergeCell ref="A5:D5"/>
    <mergeCell ref="F5:I5"/>
    <mergeCell ref="K5:L5"/>
    <mergeCell ref="N5:Q5"/>
    <mergeCell ref="A1:Q1"/>
    <mergeCell ref="A3:Q3"/>
    <mergeCell ref="A4:D4"/>
    <mergeCell ref="F4:I4"/>
    <mergeCell ref="K4:L4"/>
    <mergeCell ref="N4:Q4"/>
  </mergeCells>
  <phoneticPr fontId="30" type="noConversion"/>
  <conditionalFormatting sqref="B8:B19">
    <cfRule type="expression" dxfId="14" priority="13">
      <formula>EXACT($B8,"High")</formula>
    </cfRule>
    <cfRule type="expression" dxfId="13" priority="14">
      <formula>EXACT($B8,"Medium")</formula>
    </cfRule>
    <cfRule type="expression" dxfId="12" priority="15">
      <formula>EXACT($B8,"Low")</formula>
    </cfRule>
  </conditionalFormatting>
  <conditionalFormatting sqref="O8:O19">
    <cfRule type="expression" dxfId="11" priority="1">
      <formula>EXACT($O8,"Completed")</formula>
    </cfRule>
    <cfRule type="expression" dxfId="10" priority="2">
      <formula>EXACT($O8,"Scheduled")</formula>
    </cfRule>
    <cfRule type="expression" dxfId="9" priority="3">
      <formula>EXACT($O8,"Client review")</formula>
    </cfRule>
    <cfRule type="expression" dxfId="8" priority="4">
      <formula>EXACT($O8,"Ready to schedule")</formula>
    </cfRule>
    <cfRule type="expression" dxfId="7" priority="5">
      <formula>EXACT($O8,"On hold")</formula>
    </cfRule>
    <cfRule type="expression" dxfId="6" priority="6">
      <formula>EXACT($O8,"Not started")</formula>
    </cfRule>
    <cfRule type="expression" dxfId="5" priority="7">
      <formula>EXACT($O8,"Completed")</formula>
    </cfRule>
    <cfRule type="expression" dxfId="4" priority="8">
      <formula>EXACT($O8,"Scheduled")</formula>
    </cfRule>
    <cfRule type="expression" dxfId="3" priority="9">
      <formula>EXACT($O8,"Client review")</formula>
    </cfRule>
    <cfRule type="expression" dxfId="2" priority="10">
      <formula>EXACT($O8,"Ready to schedule")</formula>
    </cfRule>
    <cfRule type="expression" dxfId="1" priority="11">
      <formula>EXACT($O8,"On hold")</formula>
    </cfRule>
    <cfRule type="expression" dxfId="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05" customWidth="1"/>
    <col min="18" max="18" width="60.625" style="105" customWidth="1"/>
  </cols>
  <sheetData>
    <row r="1" spans="1:25" ht="27.95" customHeight="1">
      <c r="A1" s="219" t="s">
        <v>696</v>
      </c>
      <c r="B1" s="219"/>
      <c r="C1" s="219"/>
      <c r="D1" s="219"/>
      <c r="E1" s="219"/>
      <c r="F1" s="219"/>
      <c r="G1" s="219"/>
      <c r="H1" s="219"/>
      <c r="I1" s="219"/>
      <c r="J1" s="219"/>
      <c r="K1" s="219"/>
      <c r="L1" s="219"/>
      <c r="M1" s="1"/>
      <c r="N1" s="1"/>
      <c r="O1" s="1"/>
      <c r="P1" s="1"/>
      <c r="Q1" s="104"/>
      <c r="R1" s="104"/>
      <c r="S1" s="1"/>
      <c r="T1" s="1"/>
      <c r="U1" s="1"/>
      <c r="V1" s="1"/>
      <c r="W1" s="1"/>
      <c r="X1" s="1"/>
      <c r="Y1" s="1"/>
    </row>
    <row r="2" spans="1:25" ht="36" customHeight="1">
      <c r="A2" s="220" t="s">
        <v>697</v>
      </c>
      <c r="B2" s="220"/>
      <c r="C2" s="220"/>
      <c r="D2" s="220"/>
      <c r="E2" s="220"/>
      <c r="F2" s="220"/>
      <c r="G2" s="220"/>
      <c r="H2" s="220"/>
      <c r="I2" s="220"/>
      <c r="J2" s="220"/>
      <c r="K2" s="220"/>
      <c r="L2" s="220"/>
      <c r="M2" s="1"/>
      <c r="N2" s="1"/>
      <c r="O2" s="1"/>
      <c r="P2" s="1"/>
      <c r="Q2" s="104"/>
      <c r="R2" s="104"/>
      <c r="S2" s="1"/>
      <c r="T2" s="1"/>
      <c r="U2" s="1"/>
      <c r="V2" s="1"/>
      <c r="W2" s="1"/>
      <c r="X2" s="1"/>
      <c r="Y2" s="1"/>
    </row>
    <row r="3" spans="1:25" ht="14.1" customHeight="1">
      <c r="A3" s="1"/>
      <c r="B3" s="1"/>
      <c r="C3" s="1"/>
      <c r="D3" s="1"/>
      <c r="E3" s="1"/>
      <c r="F3" s="1"/>
      <c r="G3" s="1"/>
      <c r="H3" s="1"/>
      <c r="I3" s="1"/>
      <c r="J3" s="1"/>
      <c r="K3" s="1"/>
      <c r="L3" s="1"/>
      <c r="M3" s="1"/>
      <c r="N3" s="1"/>
      <c r="O3" s="1"/>
      <c r="P3" s="1"/>
      <c r="Q3" s="104"/>
      <c r="R3" s="104"/>
      <c r="S3" s="1"/>
      <c r="T3" s="1"/>
      <c r="U3" s="1"/>
      <c r="V3" s="1"/>
      <c r="W3" s="1"/>
      <c r="X3" s="1"/>
      <c r="Y3" s="1"/>
    </row>
    <row r="4" spans="1:25" ht="30" customHeight="1">
      <c r="A4" s="213" t="s">
        <v>698</v>
      </c>
      <c r="B4" s="213" t="s">
        <v>699</v>
      </c>
      <c r="C4" s="213" t="s">
        <v>700</v>
      </c>
      <c r="D4" s="213" t="s">
        <v>701</v>
      </c>
      <c r="E4" s="213" t="s">
        <v>702</v>
      </c>
      <c r="F4" s="213" t="s">
        <v>703</v>
      </c>
      <c r="G4" s="213" t="s">
        <v>704</v>
      </c>
      <c r="H4" s="213" t="s">
        <v>705</v>
      </c>
      <c r="I4" s="213" t="s">
        <v>1845</v>
      </c>
      <c r="J4" s="213" t="s">
        <v>1846</v>
      </c>
      <c r="K4" s="213" t="s">
        <v>1847</v>
      </c>
      <c r="L4" s="213" t="s">
        <v>1848</v>
      </c>
      <c r="M4" s="213" t="s">
        <v>1849</v>
      </c>
      <c r="N4" s="213" t="s">
        <v>1850</v>
      </c>
      <c r="O4" s="213" t="s">
        <v>1851</v>
      </c>
      <c r="P4" s="213" t="s">
        <v>706</v>
      </c>
      <c r="Q4" s="214" t="s">
        <v>707</v>
      </c>
      <c r="R4" s="214" t="s">
        <v>708</v>
      </c>
      <c r="S4" s="1"/>
      <c r="T4" s="1"/>
      <c r="U4" s="1"/>
      <c r="V4" s="1"/>
      <c r="W4" s="1"/>
      <c r="X4" s="1"/>
      <c r="Y4" s="1"/>
    </row>
    <row r="5" spans="1:25" ht="60" customHeight="1">
      <c r="A5" s="156">
        <v>1</v>
      </c>
      <c r="B5" s="156" t="s">
        <v>709</v>
      </c>
      <c r="C5" s="60" t="s">
        <v>710</v>
      </c>
      <c r="D5" s="194" t="s">
        <v>711</v>
      </c>
      <c r="E5" s="166">
        <v>46069</v>
      </c>
      <c r="F5" s="60" t="s">
        <v>712</v>
      </c>
      <c r="G5" s="63" t="s">
        <v>713</v>
      </c>
      <c r="H5" s="154" t="s">
        <v>714</v>
      </c>
      <c r="I5" s="1"/>
      <c r="J5" s="1"/>
      <c r="K5" s="1"/>
      <c r="L5" s="1"/>
      <c r="M5" s="1"/>
      <c r="N5" s="1"/>
      <c r="O5" s="1"/>
      <c r="P5" s="202" t="s">
        <v>715</v>
      </c>
      <c r="Q5" s="190" t="s">
        <v>716</v>
      </c>
      <c r="R5" s="206" t="s">
        <v>717</v>
      </c>
      <c r="S5" s="1"/>
      <c r="T5" s="1"/>
      <c r="U5" s="1"/>
      <c r="V5" s="1"/>
      <c r="W5" s="1"/>
      <c r="X5" s="1"/>
      <c r="Y5" s="1"/>
    </row>
    <row r="6" spans="1:25" ht="60" customHeight="1">
      <c r="A6" s="157"/>
      <c r="B6" s="157"/>
      <c r="C6" s="61"/>
      <c r="D6" s="195"/>
      <c r="E6" s="167"/>
      <c r="F6" s="61" t="s">
        <v>718</v>
      </c>
      <c r="G6" s="64" t="s">
        <v>719</v>
      </c>
      <c r="H6" s="155"/>
      <c r="I6" s="1"/>
      <c r="J6" s="1"/>
      <c r="K6" s="1"/>
      <c r="L6" s="1"/>
      <c r="M6" s="1"/>
      <c r="N6" s="1"/>
      <c r="O6" s="1"/>
      <c r="P6" s="198"/>
      <c r="Q6" s="190"/>
      <c r="R6" s="206"/>
      <c r="S6" s="1"/>
      <c r="T6" s="1"/>
      <c r="U6" s="1"/>
      <c r="V6" s="1"/>
      <c r="W6" s="1"/>
      <c r="X6" s="1"/>
      <c r="Y6" s="1"/>
    </row>
    <row r="7" spans="1:25" ht="60" customHeight="1">
      <c r="A7" s="157"/>
      <c r="B7" s="157"/>
      <c r="C7" s="61"/>
      <c r="D7" s="195"/>
      <c r="E7" s="167"/>
      <c r="F7" s="61" t="s">
        <v>720</v>
      </c>
      <c r="G7" s="65" t="s">
        <v>721</v>
      </c>
      <c r="H7" s="155"/>
      <c r="I7" s="1"/>
      <c r="J7" s="1"/>
      <c r="K7" s="1"/>
      <c r="L7" s="1"/>
      <c r="M7" s="1"/>
      <c r="N7" s="1"/>
      <c r="O7" s="1"/>
      <c r="P7" s="198"/>
      <c r="Q7" s="190"/>
      <c r="R7" s="206"/>
      <c r="S7" s="1"/>
      <c r="T7" s="1"/>
      <c r="U7" s="1"/>
      <c r="V7" s="1"/>
      <c r="W7" s="1"/>
      <c r="X7" s="1"/>
      <c r="Y7" s="1"/>
    </row>
    <row r="8" spans="1:25" ht="60" customHeight="1">
      <c r="A8" s="157"/>
      <c r="B8" s="157"/>
      <c r="C8" s="61"/>
      <c r="D8" s="195"/>
      <c r="E8" s="167"/>
      <c r="F8" s="61" t="s">
        <v>722</v>
      </c>
      <c r="G8" s="64" t="s">
        <v>723</v>
      </c>
      <c r="H8" s="155"/>
      <c r="I8" s="1"/>
      <c r="J8" s="1"/>
      <c r="K8" s="1"/>
      <c r="L8" s="1"/>
      <c r="M8" s="1"/>
      <c r="N8" s="1"/>
      <c r="O8" s="1"/>
      <c r="P8" s="198"/>
      <c r="Q8" s="190"/>
      <c r="R8" s="206"/>
      <c r="S8" s="1"/>
      <c r="T8" s="1"/>
      <c r="U8" s="1"/>
      <c r="V8" s="1"/>
      <c r="W8" s="1"/>
      <c r="X8" s="1"/>
      <c r="Y8" s="1"/>
    </row>
    <row r="9" spans="1:25" ht="60" customHeight="1">
      <c r="A9" s="157"/>
      <c r="B9" s="157"/>
      <c r="C9" s="61"/>
      <c r="D9" s="195"/>
      <c r="E9" s="167"/>
      <c r="F9" s="61" t="s">
        <v>724</v>
      </c>
      <c r="G9" s="64" t="s">
        <v>725</v>
      </c>
      <c r="H9" s="155"/>
      <c r="I9" s="1"/>
      <c r="J9" s="1"/>
      <c r="K9" s="1"/>
      <c r="L9" s="1"/>
      <c r="M9" s="1"/>
      <c r="N9" s="1"/>
      <c r="O9" s="1"/>
      <c r="P9" s="198"/>
      <c r="Q9" s="190"/>
      <c r="R9" s="206"/>
      <c r="S9" s="1"/>
      <c r="T9" s="1"/>
      <c r="U9" s="1"/>
      <c r="V9" s="1"/>
      <c r="W9" s="1"/>
      <c r="X9" s="1"/>
      <c r="Y9" s="1"/>
    </row>
    <row r="10" spans="1:25" ht="60" customHeight="1">
      <c r="A10" s="165"/>
      <c r="B10" s="165"/>
      <c r="C10" s="62"/>
      <c r="D10" s="196"/>
      <c r="E10" s="187"/>
      <c r="F10" s="62" t="s">
        <v>726</v>
      </c>
      <c r="G10" s="66" t="s">
        <v>727</v>
      </c>
      <c r="H10" s="188"/>
      <c r="I10" s="1"/>
      <c r="J10" s="1"/>
      <c r="K10" s="1"/>
      <c r="L10" s="1"/>
      <c r="M10" s="1"/>
      <c r="N10" s="1"/>
      <c r="O10" s="1"/>
      <c r="P10" s="199"/>
      <c r="Q10" s="190"/>
      <c r="R10" s="207"/>
      <c r="S10" s="1"/>
      <c r="T10" s="1"/>
      <c r="U10" s="1"/>
      <c r="V10" s="1"/>
      <c r="W10" s="1"/>
      <c r="X10" s="1"/>
      <c r="Y10" s="1"/>
    </row>
    <row r="11" spans="1:25" ht="60" customHeight="1">
      <c r="A11" s="156">
        <v>2</v>
      </c>
      <c r="B11" s="156" t="s">
        <v>709</v>
      </c>
      <c r="C11" s="60" t="s">
        <v>728</v>
      </c>
      <c r="D11" s="194" t="s">
        <v>187</v>
      </c>
      <c r="E11" s="166">
        <v>46078</v>
      </c>
      <c r="F11" s="60" t="s">
        <v>729</v>
      </c>
      <c r="G11" s="67" t="s">
        <v>730</v>
      </c>
      <c r="H11" s="154" t="s">
        <v>731</v>
      </c>
      <c r="I11" s="1"/>
      <c r="J11" s="1"/>
      <c r="K11" s="1"/>
      <c r="L11" s="1"/>
      <c r="M11" s="1"/>
      <c r="N11" s="1"/>
      <c r="O11" s="1"/>
      <c r="P11" s="202" t="s">
        <v>715</v>
      </c>
      <c r="Q11" s="193" t="s">
        <v>732</v>
      </c>
      <c r="R11" s="205" t="s">
        <v>733</v>
      </c>
      <c r="S11" s="1"/>
      <c r="T11" s="1"/>
      <c r="U11" s="1"/>
      <c r="V11" s="1"/>
      <c r="W11" s="1"/>
      <c r="X11" s="1"/>
      <c r="Y11" s="1"/>
    </row>
    <row r="12" spans="1:25" ht="60" customHeight="1">
      <c r="A12" s="157"/>
      <c r="B12" s="157"/>
      <c r="C12" s="61"/>
      <c r="D12" s="195"/>
      <c r="E12" s="167"/>
      <c r="F12" s="61" t="s">
        <v>734</v>
      </c>
      <c r="G12" s="64" t="s">
        <v>735</v>
      </c>
      <c r="H12" s="155"/>
      <c r="I12" s="1"/>
      <c r="J12" s="1"/>
      <c r="K12" s="1"/>
      <c r="L12" s="1"/>
      <c r="M12" s="1"/>
      <c r="N12" s="1"/>
      <c r="O12" s="1"/>
      <c r="P12" s="198"/>
      <c r="Q12" s="190"/>
      <c r="R12" s="206"/>
      <c r="S12" s="1"/>
      <c r="T12" s="1"/>
      <c r="U12" s="1"/>
      <c r="V12" s="1"/>
      <c r="W12" s="1"/>
      <c r="X12" s="1"/>
      <c r="Y12" s="1"/>
    </row>
    <row r="13" spans="1:25" ht="60" customHeight="1">
      <c r="A13" s="157"/>
      <c r="B13" s="157"/>
      <c r="C13" s="61"/>
      <c r="D13" s="195"/>
      <c r="E13" s="167"/>
      <c r="F13" s="61" t="s">
        <v>736</v>
      </c>
      <c r="G13" s="64" t="s">
        <v>737</v>
      </c>
      <c r="H13" s="155"/>
      <c r="I13" s="1"/>
      <c r="J13" s="1"/>
      <c r="K13" s="1"/>
      <c r="L13" s="1"/>
      <c r="M13" s="1"/>
      <c r="N13" s="1"/>
      <c r="O13" s="1"/>
      <c r="P13" s="198"/>
      <c r="Q13" s="190"/>
      <c r="R13" s="206"/>
      <c r="S13" s="1"/>
      <c r="T13" s="1"/>
      <c r="U13" s="1"/>
      <c r="V13" s="1"/>
      <c r="W13" s="1"/>
      <c r="X13" s="1"/>
      <c r="Y13" s="1"/>
    </row>
    <row r="14" spans="1:25" ht="60" customHeight="1">
      <c r="A14" s="157"/>
      <c r="B14" s="157"/>
      <c r="C14" s="61"/>
      <c r="D14" s="195"/>
      <c r="E14" s="167"/>
      <c r="F14" s="61" t="s">
        <v>738</v>
      </c>
      <c r="G14" s="64" t="s">
        <v>739</v>
      </c>
      <c r="H14" s="155"/>
      <c r="I14" s="1"/>
      <c r="J14" s="1"/>
      <c r="K14" s="1"/>
      <c r="L14" s="1"/>
      <c r="M14" s="1"/>
      <c r="N14" s="1"/>
      <c r="O14" s="1"/>
      <c r="P14" s="198"/>
      <c r="Q14" s="190"/>
      <c r="R14" s="206"/>
      <c r="S14" s="1"/>
      <c r="T14" s="1"/>
      <c r="U14" s="1"/>
      <c r="V14" s="1"/>
      <c r="W14" s="1"/>
      <c r="X14" s="1"/>
      <c r="Y14" s="1"/>
    </row>
    <row r="15" spans="1:25" ht="60" customHeight="1">
      <c r="A15" s="157"/>
      <c r="B15" s="157"/>
      <c r="C15" s="61"/>
      <c r="D15" s="195"/>
      <c r="E15" s="167"/>
      <c r="F15" s="61" t="s">
        <v>740</v>
      </c>
      <c r="G15" s="64" t="s">
        <v>741</v>
      </c>
      <c r="H15" s="155"/>
      <c r="I15" s="1"/>
      <c r="J15" s="1"/>
      <c r="K15" s="1"/>
      <c r="L15" s="1"/>
      <c r="M15" s="1"/>
      <c r="N15" s="1"/>
      <c r="O15" s="1"/>
      <c r="P15" s="198"/>
      <c r="Q15" s="190"/>
      <c r="R15" s="206"/>
      <c r="S15" s="1"/>
      <c r="T15" s="1"/>
      <c r="U15" s="1"/>
      <c r="V15" s="1"/>
      <c r="W15" s="1"/>
      <c r="X15" s="1"/>
      <c r="Y15" s="1"/>
    </row>
    <row r="16" spans="1:25" ht="60" customHeight="1">
      <c r="A16" s="165"/>
      <c r="B16" s="165"/>
      <c r="C16" s="62"/>
      <c r="D16" s="196"/>
      <c r="E16" s="187"/>
      <c r="F16" s="62" t="s">
        <v>742</v>
      </c>
      <c r="G16" s="66" t="s">
        <v>743</v>
      </c>
      <c r="H16" s="188"/>
      <c r="I16" s="1"/>
      <c r="J16" s="1"/>
      <c r="K16" s="1"/>
      <c r="L16" s="1"/>
      <c r="M16" s="1"/>
      <c r="N16" s="1"/>
      <c r="O16" s="1"/>
      <c r="P16" s="199"/>
      <c r="Q16" s="191"/>
      <c r="R16" s="207"/>
      <c r="S16" s="1"/>
      <c r="T16" s="1"/>
      <c r="U16" s="1"/>
      <c r="V16" s="1"/>
      <c r="W16" s="1"/>
      <c r="X16" s="1"/>
      <c r="Y16" s="1"/>
    </row>
    <row r="17" spans="1:25" ht="60" customHeight="1">
      <c r="A17" s="156">
        <v>3</v>
      </c>
      <c r="B17" s="156" t="s">
        <v>709</v>
      </c>
      <c r="C17" s="60" t="s">
        <v>744</v>
      </c>
      <c r="D17" s="60" t="s">
        <v>745</v>
      </c>
      <c r="E17" s="166">
        <v>46084</v>
      </c>
      <c r="F17" s="60" t="s">
        <v>746</v>
      </c>
      <c r="G17" s="67" t="s">
        <v>747</v>
      </c>
      <c r="H17" s="154" t="s">
        <v>748</v>
      </c>
      <c r="I17" s="1"/>
      <c r="J17" s="1"/>
      <c r="K17" s="1"/>
      <c r="L17" s="1"/>
      <c r="M17" s="1"/>
      <c r="N17" s="1"/>
      <c r="O17" s="1"/>
      <c r="P17" s="202" t="s">
        <v>715</v>
      </c>
      <c r="Q17" s="190" t="s">
        <v>749</v>
      </c>
      <c r="R17" s="205" t="s">
        <v>750</v>
      </c>
      <c r="S17" s="232"/>
      <c r="T17" s="1"/>
      <c r="U17" s="1"/>
      <c r="V17" s="1"/>
      <c r="W17" s="1"/>
      <c r="X17" s="1"/>
      <c r="Y17" s="1"/>
    </row>
    <row r="18" spans="1:25" ht="60" customHeight="1">
      <c r="A18" s="157"/>
      <c r="B18" s="157"/>
      <c r="C18" s="61"/>
      <c r="D18" s="61"/>
      <c r="E18" s="167"/>
      <c r="F18" s="61" t="s">
        <v>751</v>
      </c>
      <c r="G18" s="64" t="s">
        <v>752</v>
      </c>
      <c r="H18" s="155"/>
      <c r="I18" s="1"/>
      <c r="J18" s="1"/>
      <c r="K18" s="1"/>
      <c r="L18" s="1"/>
      <c r="M18" s="1"/>
      <c r="N18" s="1"/>
      <c r="O18" s="1"/>
      <c r="P18" s="198"/>
      <c r="Q18" s="190"/>
      <c r="R18" s="206"/>
      <c r="S18" s="232"/>
      <c r="T18" s="1"/>
      <c r="U18" s="1"/>
      <c r="V18" s="1"/>
      <c r="W18" s="1"/>
      <c r="X18" s="1"/>
      <c r="Y18" s="1"/>
    </row>
    <row r="19" spans="1:25" ht="60" customHeight="1">
      <c r="A19" s="157"/>
      <c r="B19" s="157"/>
      <c r="C19" s="61"/>
      <c r="D19" s="61"/>
      <c r="E19" s="167"/>
      <c r="F19" s="61" t="s">
        <v>753</v>
      </c>
      <c r="G19" s="64" t="s">
        <v>754</v>
      </c>
      <c r="H19" s="155"/>
      <c r="I19" s="1"/>
      <c r="J19" s="1"/>
      <c r="K19" s="1"/>
      <c r="L19" s="1"/>
      <c r="M19" s="1"/>
      <c r="N19" s="1"/>
      <c r="O19" s="1"/>
      <c r="P19" s="198"/>
      <c r="Q19" s="190"/>
      <c r="R19" s="206"/>
      <c r="S19" s="232"/>
      <c r="T19" s="1"/>
      <c r="U19" s="1"/>
      <c r="V19" s="1"/>
      <c r="W19" s="1"/>
      <c r="X19" s="1"/>
      <c r="Y19" s="1"/>
    </row>
    <row r="20" spans="1:25" ht="60" customHeight="1">
      <c r="A20" s="157"/>
      <c r="B20" s="157"/>
      <c r="C20" s="61"/>
      <c r="D20" s="61"/>
      <c r="E20" s="167"/>
      <c r="F20" s="61" t="s">
        <v>755</v>
      </c>
      <c r="G20" s="64" t="s">
        <v>756</v>
      </c>
      <c r="H20" s="155"/>
      <c r="I20" s="1"/>
      <c r="J20" s="1"/>
      <c r="K20" s="1"/>
      <c r="L20" s="1"/>
      <c r="M20" s="1"/>
      <c r="N20" s="1"/>
      <c r="O20" s="1"/>
      <c r="P20" s="198"/>
      <c r="Q20" s="190"/>
      <c r="R20" s="206"/>
      <c r="S20" s="232"/>
      <c r="T20" s="1"/>
      <c r="U20" s="1"/>
      <c r="V20" s="1"/>
      <c r="W20" s="1"/>
      <c r="X20" s="1"/>
      <c r="Y20" s="1"/>
    </row>
    <row r="21" spans="1:25" ht="60" customHeight="1">
      <c r="A21" s="157"/>
      <c r="B21" s="157"/>
      <c r="C21" s="61"/>
      <c r="D21" s="61"/>
      <c r="E21" s="167"/>
      <c r="F21" s="61" t="s">
        <v>757</v>
      </c>
      <c r="G21" s="64" t="s">
        <v>758</v>
      </c>
      <c r="H21" s="155"/>
      <c r="I21" s="1"/>
      <c r="J21" s="1"/>
      <c r="K21" s="1"/>
      <c r="L21" s="1"/>
      <c r="M21" s="1"/>
      <c r="N21" s="1"/>
      <c r="O21" s="1"/>
      <c r="P21" s="198"/>
      <c r="Q21" s="190"/>
      <c r="R21" s="206"/>
      <c r="S21" s="232"/>
      <c r="T21" s="1"/>
      <c r="U21" s="1"/>
      <c r="V21" s="1"/>
      <c r="W21" s="1"/>
      <c r="X21" s="1"/>
      <c r="Y21" s="1"/>
    </row>
    <row r="22" spans="1:25" ht="60" customHeight="1">
      <c r="A22" s="165"/>
      <c r="B22" s="165"/>
      <c r="C22" s="62"/>
      <c r="D22" s="62"/>
      <c r="E22" s="187"/>
      <c r="F22" s="62" t="s">
        <v>759</v>
      </c>
      <c r="G22" s="66" t="s">
        <v>760</v>
      </c>
      <c r="H22" s="188"/>
      <c r="I22" s="1"/>
      <c r="J22" s="1"/>
      <c r="K22" s="1"/>
      <c r="L22" s="1"/>
      <c r="M22" s="1"/>
      <c r="N22" s="1"/>
      <c r="O22" s="1"/>
      <c r="P22" s="199"/>
      <c r="Q22" s="191"/>
      <c r="R22" s="207"/>
      <c r="S22" s="232"/>
      <c r="T22" s="1"/>
      <c r="U22" s="1"/>
      <c r="V22" s="1"/>
      <c r="W22" s="1"/>
      <c r="X22" s="1"/>
      <c r="Y22" s="1"/>
    </row>
    <row r="23" spans="1:25" ht="60" customHeight="1">
      <c r="A23" s="156">
        <v>4</v>
      </c>
      <c r="B23" s="156" t="s">
        <v>709</v>
      </c>
      <c r="C23" s="60" t="s">
        <v>761</v>
      </c>
      <c r="D23" s="60" t="s">
        <v>148</v>
      </c>
      <c r="E23" s="166">
        <v>46127</v>
      </c>
      <c r="F23" s="60" t="s">
        <v>762</v>
      </c>
      <c r="G23" s="67" t="s">
        <v>763</v>
      </c>
      <c r="H23" s="154" t="s">
        <v>764</v>
      </c>
      <c r="I23" s="1"/>
      <c r="J23" s="1"/>
      <c r="K23" s="1"/>
      <c r="L23" s="1"/>
      <c r="M23" s="1"/>
      <c r="N23" s="1"/>
      <c r="O23" s="1"/>
      <c r="P23" s="203" t="s">
        <v>765</v>
      </c>
      <c r="Q23" s="189" t="s">
        <v>766</v>
      </c>
      <c r="R23" s="205" t="s">
        <v>767</v>
      </c>
      <c r="S23" s="232"/>
      <c r="T23" s="1"/>
      <c r="U23" s="1"/>
      <c r="V23" s="1"/>
      <c r="W23" s="1"/>
      <c r="X23" s="1"/>
      <c r="Y23" s="1"/>
    </row>
    <row r="24" spans="1:25" ht="60" customHeight="1">
      <c r="A24" s="157"/>
      <c r="B24" s="157"/>
      <c r="C24" s="61"/>
      <c r="D24" s="61"/>
      <c r="E24" s="167"/>
      <c r="F24" s="61" t="s">
        <v>768</v>
      </c>
      <c r="G24" s="64" t="s">
        <v>769</v>
      </c>
      <c r="H24" s="155"/>
      <c r="I24" s="1"/>
      <c r="J24" s="1"/>
      <c r="K24" s="1"/>
      <c r="L24" s="1"/>
      <c r="M24" s="1"/>
      <c r="N24" s="1"/>
      <c r="O24" s="1"/>
      <c r="P24" s="201"/>
      <c r="Q24" s="189"/>
      <c r="R24" s="206"/>
      <c r="S24" s="232"/>
      <c r="T24" s="1"/>
      <c r="U24" s="1"/>
      <c r="V24" s="1"/>
      <c r="W24" s="1"/>
      <c r="X24" s="1"/>
      <c r="Y24" s="1"/>
    </row>
    <row r="25" spans="1:25" ht="60" customHeight="1">
      <c r="A25" s="157"/>
      <c r="B25" s="157"/>
      <c r="C25" s="61"/>
      <c r="D25" s="61"/>
      <c r="E25" s="167"/>
      <c r="F25" s="61" t="s">
        <v>770</v>
      </c>
      <c r="G25" s="64" t="s">
        <v>771</v>
      </c>
      <c r="H25" s="155"/>
      <c r="I25" s="1"/>
      <c r="J25" s="1"/>
      <c r="K25" s="1"/>
      <c r="L25" s="1"/>
      <c r="M25" s="1"/>
      <c r="N25" s="1"/>
      <c r="O25" s="1"/>
      <c r="P25" s="201"/>
      <c r="Q25" s="189"/>
      <c r="R25" s="206"/>
      <c r="S25" s="232"/>
      <c r="T25" s="1"/>
      <c r="U25" s="1"/>
      <c r="V25" s="1"/>
      <c r="W25" s="1"/>
      <c r="X25" s="1"/>
      <c r="Y25" s="1"/>
    </row>
    <row r="26" spans="1:25" ht="60" customHeight="1">
      <c r="A26" s="157"/>
      <c r="B26" s="157"/>
      <c r="C26" s="61"/>
      <c r="D26" s="61"/>
      <c r="E26" s="167"/>
      <c r="F26" s="61" t="s">
        <v>772</v>
      </c>
      <c r="G26" s="65" t="s">
        <v>773</v>
      </c>
      <c r="H26" s="155"/>
      <c r="I26" s="1"/>
      <c r="J26" s="1"/>
      <c r="K26" s="1"/>
      <c r="L26" s="1"/>
      <c r="M26" s="1"/>
      <c r="N26" s="1"/>
      <c r="O26" s="1"/>
      <c r="P26" s="201"/>
      <c r="Q26" s="189"/>
      <c r="R26" s="206"/>
      <c r="S26" s="232"/>
      <c r="T26" s="1"/>
      <c r="U26" s="1"/>
      <c r="V26" s="1"/>
      <c r="W26" s="1"/>
      <c r="X26" s="1"/>
      <c r="Y26" s="1"/>
    </row>
    <row r="27" spans="1:25" ht="60" customHeight="1">
      <c r="A27" s="157"/>
      <c r="B27" s="157"/>
      <c r="C27" s="61"/>
      <c r="D27" s="61"/>
      <c r="E27" s="167"/>
      <c r="F27" s="61" t="s">
        <v>774</v>
      </c>
      <c r="G27" s="65" t="s">
        <v>775</v>
      </c>
      <c r="H27" s="155"/>
      <c r="I27" s="1"/>
      <c r="J27" s="1"/>
      <c r="K27" s="1"/>
      <c r="L27" s="1"/>
      <c r="M27" s="1"/>
      <c r="N27" s="1"/>
      <c r="O27" s="1"/>
      <c r="P27" s="201"/>
      <c r="Q27" s="189"/>
      <c r="R27" s="206"/>
      <c r="S27" s="232"/>
      <c r="T27" s="1"/>
      <c r="U27" s="1"/>
      <c r="V27" s="1"/>
      <c r="W27" s="1"/>
      <c r="X27" s="1"/>
      <c r="Y27" s="1"/>
    </row>
    <row r="28" spans="1:25" ht="60" customHeight="1">
      <c r="A28" s="165"/>
      <c r="B28" s="165"/>
      <c r="C28" s="62"/>
      <c r="D28" s="62"/>
      <c r="E28" s="187"/>
      <c r="F28" s="62" t="s">
        <v>776</v>
      </c>
      <c r="G28" s="74" t="s">
        <v>777</v>
      </c>
      <c r="H28" s="188"/>
      <c r="I28" s="1"/>
      <c r="J28" s="1"/>
      <c r="K28" s="1"/>
      <c r="L28" s="1"/>
      <c r="M28" s="1"/>
      <c r="N28" s="1"/>
      <c r="O28" s="1"/>
      <c r="P28" s="204"/>
      <c r="Q28" s="192"/>
      <c r="R28" s="207"/>
      <c r="S28" s="232"/>
      <c r="T28" s="1"/>
      <c r="U28" s="1"/>
      <c r="V28" s="1"/>
      <c r="W28" s="1"/>
      <c r="X28" s="1"/>
      <c r="Y28" s="1"/>
    </row>
    <row r="29" spans="1:25" ht="60" customHeight="1">
      <c r="A29" s="156">
        <v>5</v>
      </c>
      <c r="B29" s="156" t="s">
        <v>709</v>
      </c>
      <c r="C29" s="60" t="s">
        <v>778</v>
      </c>
      <c r="D29" s="60" t="s">
        <v>779</v>
      </c>
      <c r="E29" s="166">
        <v>46146</v>
      </c>
      <c r="F29" s="60" t="s">
        <v>780</v>
      </c>
      <c r="G29" s="67" t="s">
        <v>781</v>
      </c>
      <c r="H29" s="154" t="s">
        <v>782</v>
      </c>
      <c r="I29" s="1"/>
      <c r="J29" s="1"/>
      <c r="K29" s="1"/>
      <c r="L29" s="1"/>
      <c r="M29" s="1"/>
      <c r="N29" s="1"/>
      <c r="O29" s="1"/>
      <c r="P29" s="202" t="s">
        <v>715</v>
      </c>
      <c r="Q29" s="189" t="s">
        <v>783</v>
      </c>
      <c r="R29" s="208" t="s">
        <v>784</v>
      </c>
      <c r="S29" s="1"/>
      <c r="T29" s="1"/>
      <c r="U29" s="1"/>
      <c r="V29" s="1"/>
      <c r="W29" s="1"/>
      <c r="X29" s="1"/>
      <c r="Y29" s="1"/>
    </row>
    <row r="30" spans="1:25" ht="60" customHeight="1">
      <c r="A30" s="157"/>
      <c r="B30" s="157"/>
      <c r="C30" s="61"/>
      <c r="D30" s="61"/>
      <c r="E30" s="167"/>
      <c r="F30" s="61" t="s">
        <v>785</v>
      </c>
      <c r="G30" s="65" t="s">
        <v>786</v>
      </c>
      <c r="H30" s="155"/>
      <c r="I30" s="1"/>
      <c r="J30" s="1"/>
      <c r="K30" s="1"/>
      <c r="L30" s="1"/>
      <c r="M30" s="1"/>
      <c r="N30" s="1"/>
      <c r="O30" s="1"/>
      <c r="P30" s="198"/>
      <c r="Q30" s="190"/>
      <c r="R30" s="206"/>
      <c r="S30" s="1"/>
      <c r="T30" s="1"/>
      <c r="U30" s="1"/>
      <c r="V30" s="1"/>
      <c r="W30" s="1"/>
      <c r="X30" s="1"/>
      <c r="Y30" s="1"/>
    </row>
    <row r="31" spans="1:25" ht="60" customHeight="1">
      <c r="A31" s="157"/>
      <c r="B31" s="157"/>
      <c r="C31" s="61"/>
      <c r="D31" s="61"/>
      <c r="E31" s="167"/>
      <c r="F31" s="61" t="s">
        <v>787</v>
      </c>
      <c r="G31" s="65" t="s">
        <v>788</v>
      </c>
      <c r="H31" s="155"/>
      <c r="I31" s="1"/>
      <c r="J31" s="1"/>
      <c r="K31" s="1"/>
      <c r="L31" s="1"/>
      <c r="M31" s="1"/>
      <c r="N31" s="1"/>
      <c r="O31" s="1"/>
      <c r="P31" s="198"/>
      <c r="Q31" s="190"/>
      <c r="R31" s="206"/>
      <c r="S31" s="1"/>
      <c r="T31" s="1"/>
      <c r="U31" s="1"/>
      <c r="V31" s="1"/>
      <c r="W31" s="1"/>
      <c r="X31" s="1"/>
      <c r="Y31" s="1"/>
    </row>
    <row r="32" spans="1:25" ht="60" customHeight="1">
      <c r="A32" s="157"/>
      <c r="B32" s="157"/>
      <c r="C32" s="61"/>
      <c r="D32" s="61"/>
      <c r="E32" s="167"/>
      <c r="F32" s="61" t="s">
        <v>789</v>
      </c>
      <c r="G32" s="65" t="s">
        <v>790</v>
      </c>
      <c r="H32" s="155"/>
      <c r="I32" s="1"/>
      <c r="J32" s="1"/>
      <c r="K32" s="1"/>
      <c r="L32" s="1"/>
      <c r="M32" s="1"/>
      <c r="N32" s="1"/>
      <c r="O32" s="1"/>
      <c r="P32" s="198"/>
      <c r="Q32" s="190"/>
      <c r="R32" s="206"/>
      <c r="S32" s="1"/>
      <c r="T32" s="1"/>
      <c r="U32" s="1"/>
      <c r="V32" s="1"/>
      <c r="W32" s="1"/>
      <c r="X32" s="1"/>
      <c r="Y32" s="1"/>
    </row>
    <row r="33" spans="1:25" ht="60" customHeight="1">
      <c r="A33" s="157"/>
      <c r="B33" s="157"/>
      <c r="C33" s="61"/>
      <c r="D33" s="61"/>
      <c r="E33" s="167"/>
      <c r="F33" s="61" t="s">
        <v>791</v>
      </c>
      <c r="G33" s="65" t="s">
        <v>792</v>
      </c>
      <c r="H33" s="155"/>
      <c r="I33" s="1"/>
      <c r="J33" s="1"/>
      <c r="K33" s="1"/>
      <c r="L33" s="1"/>
      <c r="M33" s="1"/>
      <c r="N33" s="1"/>
      <c r="O33" s="1"/>
      <c r="P33" s="198"/>
      <c r="Q33" s="190"/>
      <c r="R33" s="206"/>
      <c r="S33" s="1"/>
      <c r="T33" s="1"/>
      <c r="U33" s="1"/>
      <c r="V33" s="1"/>
      <c r="W33" s="1"/>
      <c r="X33" s="1"/>
      <c r="Y33" s="1"/>
    </row>
    <row r="34" spans="1:25" ht="60" customHeight="1">
      <c r="A34" s="165"/>
      <c r="B34" s="165"/>
      <c r="C34" s="62"/>
      <c r="D34" s="62"/>
      <c r="E34" s="187"/>
      <c r="F34" s="62" t="s">
        <v>793</v>
      </c>
      <c r="G34" s="74" t="s">
        <v>794</v>
      </c>
      <c r="H34" s="188"/>
      <c r="I34" s="1"/>
      <c r="J34" s="1"/>
      <c r="K34" s="1"/>
      <c r="L34" s="1"/>
      <c r="M34" s="1"/>
      <c r="N34" s="1"/>
      <c r="O34" s="1"/>
      <c r="P34" s="199"/>
      <c r="Q34" s="191"/>
      <c r="R34" s="207"/>
      <c r="S34" s="1"/>
      <c r="T34" s="1"/>
      <c r="U34" s="1"/>
      <c r="V34" s="1"/>
      <c r="W34" s="1"/>
      <c r="X34" s="1"/>
      <c r="Y34" s="1"/>
    </row>
    <row r="35" spans="1:25" ht="60" customHeight="1">
      <c r="A35" s="156">
        <v>6</v>
      </c>
      <c r="B35" s="156" t="s">
        <v>709</v>
      </c>
      <c r="C35" s="60" t="s">
        <v>795</v>
      </c>
      <c r="D35" s="60" t="s">
        <v>796</v>
      </c>
      <c r="E35" s="166">
        <v>46147</v>
      </c>
      <c r="F35" s="60" t="s">
        <v>797</v>
      </c>
      <c r="G35" s="63" t="s">
        <v>798</v>
      </c>
      <c r="H35" s="154" t="s">
        <v>799</v>
      </c>
      <c r="I35" s="1"/>
      <c r="J35" s="1"/>
      <c r="K35" s="1"/>
      <c r="L35" s="1"/>
      <c r="M35" s="1"/>
      <c r="N35" s="1"/>
      <c r="O35" s="1"/>
      <c r="P35" s="203" t="s">
        <v>800</v>
      </c>
      <c r="Q35" s="193" t="s">
        <v>801</v>
      </c>
      <c r="R35" s="206" t="s">
        <v>801</v>
      </c>
      <c r="S35" s="1"/>
      <c r="T35" s="1"/>
      <c r="U35" s="1"/>
      <c r="V35" s="1"/>
      <c r="W35" s="1"/>
      <c r="X35" s="1"/>
      <c r="Y35" s="1"/>
    </row>
    <row r="36" spans="1:25" ht="60" customHeight="1">
      <c r="A36" s="157"/>
      <c r="B36" s="157"/>
      <c r="C36" s="61"/>
      <c r="D36" s="61"/>
      <c r="E36" s="167"/>
      <c r="F36" s="61" t="s">
        <v>802</v>
      </c>
      <c r="G36" s="65" t="s">
        <v>803</v>
      </c>
      <c r="H36" s="155"/>
      <c r="I36" s="1"/>
      <c r="J36" s="1"/>
      <c r="K36" s="1"/>
      <c r="L36" s="1"/>
      <c r="M36" s="1"/>
      <c r="N36" s="1"/>
      <c r="O36" s="1"/>
      <c r="P36" s="201"/>
      <c r="Q36" s="190"/>
      <c r="R36" s="206"/>
      <c r="S36" s="1"/>
      <c r="T36" s="1"/>
      <c r="U36" s="1"/>
      <c r="V36" s="1"/>
      <c r="W36" s="1"/>
      <c r="X36" s="1"/>
      <c r="Y36" s="1"/>
    </row>
    <row r="37" spans="1:25" ht="60" customHeight="1">
      <c r="A37" s="157"/>
      <c r="B37" s="157"/>
      <c r="C37" s="61"/>
      <c r="D37" s="61"/>
      <c r="E37" s="167"/>
      <c r="F37" s="61" t="s">
        <v>804</v>
      </c>
      <c r="G37" s="65" t="s">
        <v>805</v>
      </c>
      <c r="H37" s="155"/>
      <c r="I37" s="1"/>
      <c r="J37" s="1"/>
      <c r="K37" s="1"/>
      <c r="L37" s="1"/>
      <c r="M37" s="1"/>
      <c r="N37" s="1"/>
      <c r="O37" s="1"/>
      <c r="P37" s="201"/>
      <c r="Q37" s="190"/>
      <c r="R37" s="206"/>
      <c r="S37" s="1"/>
      <c r="T37" s="1"/>
      <c r="U37" s="1"/>
      <c r="V37" s="1"/>
      <c r="W37" s="1"/>
      <c r="X37" s="1"/>
      <c r="Y37" s="1"/>
    </row>
    <row r="38" spans="1:25" ht="60" customHeight="1">
      <c r="A38" s="157"/>
      <c r="B38" s="157"/>
      <c r="C38" s="61"/>
      <c r="D38" s="61"/>
      <c r="E38" s="167"/>
      <c r="F38" s="61" t="s">
        <v>806</v>
      </c>
      <c r="G38" s="65" t="s">
        <v>807</v>
      </c>
      <c r="H38" s="155"/>
      <c r="I38" s="1"/>
      <c r="J38" s="1"/>
      <c r="K38" s="1"/>
      <c r="L38" s="1"/>
      <c r="M38" s="1"/>
      <c r="N38" s="1"/>
      <c r="O38" s="1"/>
      <c r="P38" s="201"/>
      <c r="Q38" s="190"/>
      <c r="R38" s="206"/>
      <c r="S38" s="1"/>
      <c r="T38" s="1"/>
      <c r="U38" s="1"/>
      <c r="V38" s="1"/>
      <c r="W38" s="1"/>
      <c r="X38" s="1"/>
      <c r="Y38" s="1"/>
    </row>
    <row r="39" spans="1:25" ht="60" customHeight="1">
      <c r="A39" s="157"/>
      <c r="B39" s="157"/>
      <c r="C39" s="61"/>
      <c r="D39" s="61"/>
      <c r="E39" s="167"/>
      <c r="F39" s="61" t="s">
        <v>808</v>
      </c>
      <c r="G39" s="65" t="s">
        <v>809</v>
      </c>
      <c r="H39" s="155"/>
      <c r="I39" s="1"/>
      <c r="J39" s="1"/>
      <c r="K39" s="1"/>
      <c r="L39" s="1"/>
      <c r="M39" s="1"/>
      <c r="N39" s="1"/>
      <c r="O39" s="1"/>
      <c r="P39" s="201"/>
      <c r="Q39" s="190"/>
      <c r="R39" s="206"/>
      <c r="S39" s="1"/>
      <c r="T39" s="1"/>
      <c r="U39" s="1"/>
      <c r="V39" s="1"/>
      <c r="W39" s="1"/>
      <c r="X39" s="1"/>
      <c r="Y39" s="1"/>
    </row>
    <row r="40" spans="1:25" ht="60" customHeight="1">
      <c r="A40" s="165"/>
      <c r="B40" s="165"/>
      <c r="C40" s="62"/>
      <c r="D40" s="61"/>
      <c r="E40" s="167"/>
      <c r="F40" s="61" t="s">
        <v>810</v>
      </c>
      <c r="G40" s="65" t="s">
        <v>811</v>
      </c>
      <c r="H40" s="155"/>
      <c r="I40" s="1"/>
      <c r="J40" s="1"/>
      <c r="K40" s="1"/>
      <c r="L40" s="1"/>
      <c r="M40" s="1"/>
      <c r="N40" s="1"/>
      <c r="O40" s="1"/>
      <c r="P40" s="204"/>
      <c r="Q40" s="190"/>
      <c r="R40" s="207"/>
      <c r="S40" s="1"/>
      <c r="T40" s="1"/>
      <c r="U40" s="1"/>
      <c r="V40" s="1"/>
      <c r="W40" s="1"/>
      <c r="X40" s="1"/>
      <c r="Y40" s="1"/>
    </row>
    <row r="41" spans="1:25" ht="60" customHeight="1">
      <c r="A41" s="156">
        <v>7</v>
      </c>
      <c r="B41" s="156" t="s">
        <v>709</v>
      </c>
      <c r="C41" s="168" t="s">
        <v>812</v>
      </c>
      <c r="D41" s="170" t="s">
        <v>351</v>
      </c>
      <c r="E41" s="173">
        <v>46153</v>
      </c>
      <c r="F41" s="70" t="s">
        <v>813</v>
      </c>
      <c r="G41" s="75" t="s">
        <v>814</v>
      </c>
      <c r="H41" s="176" t="s">
        <v>815</v>
      </c>
      <c r="I41" s="1"/>
      <c r="J41" s="1"/>
      <c r="K41" s="1"/>
      <c r="L41" s="1"/>
      <c r="M41" s="1"/>
      <c r="N41" s="1"/>
      <c r="O41" s="1"/>
      <c r="P41" s="202" t="s">
        <v>715</v>
      </c>
      <c r="Q41" s="193" t="s">
        <v>816</v>
      </c>
      <c r="R41" s="205" t="s">
        <v>817</v>
      </c>
      <c r="S41" s="1"/>
      <c r="T41" s="1"/>
      <c r="U41" s="1"/>
      <c r="V41" s="1"/>
      <c r="W41" s="1"/>
      <c r="X41" s="1"/>
      <c r="Y41" s="1"/>
    </row>
    <row r="42" spans="1:25" ht="60" customHeight="1">
      <c r="A42" s="157"/>
      <c r="B42" s="157"/>
      <c r="C42" s="169"/>
      <c r="D42" s="171"/>
      <c r="E42" s="174"/>
      <c r="F42" s="3" t="s">
        <v>818</v>
      </c>
      <c r="G42" s="76" t="s">
        <v>819</v>
      </c>
      <c r="H42" s="176"/>
      <c r="I42" s="1"/>
      <c r="J42" s="1"/>
      <c r="K42" s="1"/>
      <c r="L42" s="1"/>
      <c r="M42" s="1"/>
      <c r="N42" s="1"/>
      <c r="O42" s="1"/>
      <c r="P42" s="198"/>
      <c r="Q42" s="190"/>
      <c r="R42" s="206"/>
      <c r="S42" s="1"/>
      <c r="T42" s="1"/>
      <c r="U42" s="1"/>
      <c r="V42" s="1"/>
      <c r="W42" s="1"/>
      <c r="X42" s="1"/>
      <c r="Y42" s="1"/>
    </row>
    <row r="43" spans="1:25" ht="60" customHeight="1">
      <c r="A43" s="157"/>
      <c r="B43" s="157"/>
      <c r="C43" s="169"/>
      <c r="D43" s="171"/>
      <c r="E43" s="174"/>
      <c r="F43" s="3" t="s">
        <v>820</v>
      </c>
      <c r="G43" s="3" t="s">
        <v>821</v>
      </c>
      <c r="H43" s="176"/>
      <c r="I43" s="1"/>
      <c r="J43" s="1"/>
      <c r="K43" s="1"/>
      <c r="L43" s="1"/>
      <c r="M43" s="1"/>
      <c r="N43" s="1"/>
      <c r="O43" s="1"/>
      <c r="P43" s="198"/>
      <c r="Q43" s="190"/>
      <c r="R43" s="206"/>
      <c r="S43" s="1"/>
      <c r="T43" s="1"/>
      <c r="U43" s="1"/>
      <c r="V43" s="1"/>
      <c r="W43" s="1"/>
      <c r="X43" s="1"/>
      <c r="Y43" s="1"/>
    </row>
    <row r="44" spans="1:25" ht="60" customHeight="1">
      <c r="A44" s="157"/>
      <c r="B44" s="157"/>
      <c r="C44" s="169"/>
      <c r="D44" s="171"/>
      <c r="E44" s="174"/>
      <c r="F44" s="3" t="s">
        <v>822</v>
      </c>
      <c r="G44" s="3" t="s">
        <v>823</v>
      </c>
      <c r="H44" s="176"/>
      <c r="I44" s="1"/>
      <c r="J44" s="1"/>
      <c r="K44" s="1"/>
      <c r="L44" s="1"/>
      <c r="M44" s="1"/>
      <c r="N44" s="1"/>
      <c r="O44" s="1"/>
      <c r="P44" s="198"/>
      <c r="Q44" s="190"/>
      <c r="R44" s="206"/>
      <c r="S44" s="1"/>
      <c r="T44" s="1"/>
      <c r="U44" s="1"/>
      <c r="V44" s="1"/>
      <c r="W44" s="1"/>
      <c r="X44" s="1"/>
      <c r="Y44" s="1"/>
    </row>
    <row r="45" spans="1:25" ht="60" customHeight="1">
      <c r="A45" s="157"/>
      <c r="B45" s="157"/>
      <c r="C45" s="169"/>
      <c r="D45" s="171"/>
      <c r="E45" s="174"/>
      <c r="F45" s="3" t="s">
        <v>824</v>
      </c>
      <c r="G45" s="3" t="s">
        <v>825</v>
      </c>
      <c r="H45" s="176"/>
      <c r="I45" s="1"/>
      <c r="J45" s="1"/>
      <c r="K45" s="1"/>
      <c r="L45" s="1"/>
      <c r="M45" s="1"/>
      <c r="N45" s="1"/>
      <c r="O45" s="1"/>
      <c r="P45" s="198"/>
      <c r="Q45" s="190"/>
      <c r="R45" s="206"/>
      <c r="S45" s="1"/>
      <c r="T45" s="1"/>
      <c r="U45" s="1"/>
      <c r="V45" s="1"/>
      <c r="W45" s="1"/>
      <c r="X45" s="1"/>
      <c r="Y45" s="1"/>
    </row>
    <row r="46" spans="1:25" ht="60" customHeight="1">
      <c r="A46" s="157"/>
      <c r="B46" s="157"/>
      <c r="C46" s="169"/>
      <c r="D46" s="172"/>
      <c r="E46" s="175"/>
      <c r="F46" s="72" t="s">
        <v>826</v>
      </c>
      <c r="G46" s="77" t="s">
        <v>827</v>
      </c>
      <c r="H46" s="177"/>
      <c r="I46" s="1"/>
      <c r="J46" s="1"/>
      <c r="K46" s="1"/>
      <c r="L46" s="1"/>
      <c r="M46" s="1"/>
      <c r="N46" s="1"/>
      <c r="O46" s="1"/>
      <c r="P46" s="198"/>
      <c r="Q46" s="190"/>
      <c r="R46" s="207"/>
      <c r="S46" s="1"/>
      <c r="T46" s="1"/>
      <c r="U46" s="1"/>
      <c r="V46" s="1"/>
      <c r="W46" s="1"/>
      <c r="X46" s="1"/>
      <c r="Y46" s="1"/>
    </row>
    <row r="47" spans="1:25" ht="60" customHeight="1">
      <c r="A47" s="158">
        <v>8</v>
      </c>
      <c r="B47" s="158" t="s">
        <v>709</v>
      </c>
      <c r="C47" s="178" t="s">
        <v>828</v>
      </c>
      <c r="D47" s="178" t="s">
        <v>711</v>
      </c>
      <c r="E47" s="182">
        <v>46191</v>
      </c>
      <c r="F47" s="69" t="s">
        <v>829</v>
      </c>
      <c r="G47" s="78" t="s">
        <v>830</v>
      </c>
      <c r="H47" s="115" t="s">
        <v>831</v>
      </c>
      <c r="I47" s="1"/>
      <c r="J47" s="1"/>
      <c r="K47" s="1"/>
      <c r="L47" s="1"/>
      <c r="M47" s="1"/>
      <c r="N47" s="1"/>
      <c r="O47" s="1"/>
      <c r="P47" s="202" t="s">
        <v>715</v>
      </c>
      <c r="Q47" s="193" t="s">
        <v>832</v>
      </c>
      <c r="R47" s="205" t="s">
        <v>833</v>
      </c>
      <c r="S47" s="1"/>
      <c r="T47" s="1"/>
      <c r="U47" s="1"/>
      <c r="V47" s="1"/>
      <c r="W47" s="1"/>
      <c r="X47" s="1"/>
      <c r="Y47" s="1"/>
    </row>
    <row r="48" spans="1:25" ht="60" customHeight="1">
      <c r="A48" s="159"/>
      <c r="B48" s="159"/>
      <c r="C48" s="179"/>
      <c r="D48" s="179"/>
      <c r="E48" s="182"/>
      <c r="F48" s="69" t="s">
        <v>834</v>
      </c>
      <c r="G48" s="78" t="s">
        <v>835</v>
      </c>
      <c r="H48" s="116"/>
      <c r="I48" s="1"/>
      <c r="J48" s="1"/>
      <c r="K48" s="1"/>
      <c r="L48" s="1"/>
      <c r="M48" s="1"/>
      <c r="N48" s="1"/>
      <c r="O48" s="1"/>
      <c r="P48" s="198"/>
      <c r="Q48" s="190"/>
      <c r="R48" s="206"/>
      <c r="S48" s="1"/>
      <c r="T48" s="1"/>
      <c r="U48" s="1"/>
      <c r="V48" s="1"/>
      <c r="W48" s="1"/>
      <c r="X48" s="1"/>
      <c r="Y48" s="1"/>
    </row>
    <row r="49" spans="1:25" ht="60" customHeight="1">
      <c r="A49" s="159"/>
      <c r="B49" s="159"/>
      <c r="C49" s="179"/>
      <c r="D49" s="179"/>
      <c r="E49" s="182"/>
      <c r="F49" s="69" t="s">
        <v>836</v>
      </c>
      <c r="G49" s="78" t="s">
        <v>837</v>
      </c>
      <c r="H49" s="116"/>
      <c r="I49" s="1"/>
      <c r="J49" s="1"/>
      <c r="K49" s="1"/>
      <c r="L49" s="1"/>
      <c r="M49" s="1"/>
      <c r="N49" s="1"/>
      <c r="O49" s="1"/>
      <c r="P49" s="198"/>
      <c r="Q49" s="190"/>
      <c r="R49" s="206"/>
      <c r="S49" s="1"/>
      <c r="T49" s="1"/>
      <c r="U49" s="1"/>
      <c r="V49" s="1"/>
      <c r="W49" s="1"/>
      <c r="X49" s="1"/>
      <c r="Y49" s="1"/>
    </row>
    <row r="50" spans="1:25" ht="60" customHeight="1">
      <c r="A50" s="159"/>
      <c r="B50" s="159"/>
      <c r="C50" s="179"/>
      <c r="D50" s="179"/>
      <c r="E50" s="182"/>
      <c r="F50" s="69" t="s">
        <v>838</v>
      </c>
      <c r="G50" s="78" t="s">
        <v>839</v>
      </c>
      <c r="H50" s="116"/>
      <c r="I50" s="1"/>
      <c r="J50" s="1"/>
      <c r="K50" s="1"/>
      <c r="L50" s="1"/>
      <c r="M50" s="1"/>
      <c r="N50" s="1"/>
      <c r="O50" s="1"/>
      <c r="P50" s="198"/>
      <c r="Q50" s="190"/>
      <c r="R50" s="206"/>
      <c r="S50" s="1"/>
      <c r="T50" s="1"/>
      <c r="U50" s="1"/>
      <c r="V50" s="1"/>
      <c r="W50" s="1"/>
      <c r="X50" s="1"/>
      <c r="Y50" s="1"/>
    </row>
    <row r="51" spans="1:25" ht="60" customHeight="1">
      <c r="A51" s="159"/>
      <c r="B51" s="159"/>
      <c r="C51" s="179"/>
      <c r="D51" s="179"/>
      <c r="E51" s="182"/>
      <c r="F51" s="69" t="s">
        <v>840</v>
      </c>
      <c r="G51" s="78" t="s">
        <v>841</v>
      </c>
      <c r="H51" s="116"/>
      <c r="I51" s="1"/>
      <c r="J51" s="1"/>
      <c r="K51" s="1"/>
      <c r="L51" s="1"/>
      <c r="M51" s="1"/>
      <c r="N51" s="1"/>
      <c r="O51" s="1"/>
      <c r="P51" s="198"/>
      <c r="Q51" s="190"/>
      <c r="R51" s="206"/>
      <c r="S51" s="1"/>
      <c r="T51" s="1"/>
      <c r="U51" s="1"/>
      <c r="V51" s="1"/>
      <c r="W51" s="1"/>
      <c r="X51" s="1"/>
      <c r="Y51" s="1"/>
    </row>
    <row r="52" spans="1:25" ht="60" customHeight="1">
      <c r="A52" s="160"/>
      <c r="B52" s="160"/>
      <c r="C52" s="180"/>
      <c r="D52" s="181"/>
      <c r="E52" s="182"/>
      <c r="F52" s="69" t="s">
        <v>842</v>
      </c>
      <c r="G52" s="78" t="s">
        <v>843</v>
      </c>
      <c r="H52" s="117"/>
      <c r="I52" s="1"/>
      <c r="J52" s="1"/>
      <c r="K52" s="1"/>
      <c r="L52" s="1"/>
      <c r="M52" s="1"/>
      <c r="N52" s="1"/>
      <c r="O52" s="1"/>
      <c r="P52" s="199"/>
      <c r="Q52" s="191"/>
      <c r="R52" s="207"/>
      <c r="S52" s="1"/>
      <c r="T52" s="1"/>
      <c r="U52" s="1"/>
      <c r="V52" s="1"/>
      <c r="W52" s="1"/>
      <c r="X52" s="1"/>
      <c r="Y52" s="1"/>
    </row>
    <row r="53" spans="1:25" ht="60" customHeight="1">
      <c r="A53" s="161">
        <v>9</v>
      </c>
      <c r="B53" s="140" t="s">
        <v>709</v>
      </c>
      <c r="C53" s="134" t="s">
        <v>844</v>
      </c>
      <c r="D53" s="136" t="s">
        <v>845</v>
      </c>
      <c r="E53" s="185">
        <v>46155</v>
      </c>
      <c r="F53" s="3" t="s">
        <v>846</v>
      </c>
      <c r="G53" s="76" t="s">
        <v>847</v>
      </c>
      <c r="H53" s="112" t="s">
        <v>848</v>
      </c>
      <c r="I53" s="1"/>
      <c r="J53" s="1"/>
      <c r="K53" s="1"/>
      <c r="L53" s="1"/>
      <c r="M53" s="1"/>
      <c r="N53" s="1"/>
      <c r="O53" s="1"/>
      <c r="P53" s="202" t="s">
        <v>715</v>
      </c>
      <c r="Q53" s="190" t="s">
        <v>849</v>
      </c>
      <c r="R53" s="205" t="s">
        <v>850</v>
      </c>
      <c r="S53" s="1"/>
      <c r="T53" s="1"/>
      <c r="U53" s="1"/>
      <c r="V53" s="1"/>
      <c r="W53" s="1"/>
      <c r="X53" s="1"/>
      <c r="Y53" s="1"/>
    </row>
    <row r="54" spans="1:25" ht="60" customHeight="1">
      <c r="A54" s="162"/>
      <c r="B54" s="140"/>
      <c r="C54" s="134"/>
      <c r="D54" s="137"/>
      <c r="E54" s="186"/>
      <c r="F54" s="3" t="s">
        <v>851</v>
      </c>
      <c r="G54" s="3" t="s">
        <v>852</v>
      </c>
      <c r="H54" s="112"/>
      <c r="I54" s="1"/>
      <c r="J54" s="1"/>
      <c r="K54" s="1"/>
      <c r="L54" s="1"/>
      <c r="M54" s="1"/>
      <c r="N54" s="1"/>
      <c r="O54" s="1"/>
      <c r="P54" s="198"/>
      <c r="Q54" s="190"/>
      <c r="R54" s="206"/>
      <c r="S54" s="1"/>
      <c r="T54" s="1"/>
      <c r="U54" s="1"/>
      <c r="V54" s="1"/>
      <c r="W54" s="1"/>
      <c r="X54" s="1"/>
      <c r="Y54" s="1"/>
    </row>
    <row r="55" spans="1:25" ht="60" customHeight="1">
      <c r="A55" s="162"/>
      <c r="B55" s="140"/>
      <c r="C55" s="134"/>
      <c r="D55" s="137"/>
      <c r="E55" s="186"/>
      <c r="F55" s="3" t="s">
        <v>853</v>
      </c>
      <c r="G55" s="3" t="s">
        <v>854</v>
      </c>
      <c r="H55" s="112"/>
      <c r="I55" s="1"/>
      <c r="J55" s="1"/>
      <c r="K55" s="1"/>
      <c r="L55" s="1"/>
      <c r="M55" s="1"/>
      <c r="N55" s="1"/>
      <c r="O55" s="1"/>
      <c r="P55" s="198"/>
      <c r="Q55" s="190"/>
      <c r="R55" s="206"/>
      <c r="S55" s="1"/>
      <c r="T55" s="1"/>
      <c r="U55" s="1"/>
      <c r="V55" s="1"/>
      <c r="W55" s="1"/>
      <c r="X55" s="1"/>
      <c r="Y55" s="1"/>
    </row>
    <row r="56" spans="1:25" ht="60" customHeight="1">
      <c r="A56" s="162"/>
      <c r="B56" s="140"/>
      <c r="C56" s="134"/>
      <c r="D56" s="137"/>
      <c r="E56" s="186"/>
      <c r="F56" s="3" t="s">
        <v>855</v>
      </c>
      <c r="G56" s="3" t="s">
        <v>856</v>
      </c>
      <c r="H56" s="112"/>
      <c r="I56" s="1"/>
      <c r="J56" s="1"/>
      <c r="K56" s="1"/>
      <c r="L56" s="1"/>
      <c r="M56" s="1"/>
      <c r="N56" s="1"/>
      <c r="O56" s="1"/>
      <c r="P56" s="198"/>
      <c r="Q56" s="190"/>
      <c r="R56" s="206"/>
      <c r="S56" s="1"/>
      <c r="T56" s="1"/>
      <c r="U56" s="1"/>
      <c r="V56" s="1"/>
      <c r="W56" s="1"/>
      <c r="X56" s="1"/>
      <c r="Y56" s="1"/>
    </row>
    <row r="57" spans="1:25" ht="60" customHeight="1">
      <c r="A57" s="162"/>
      <c r="B57" s="140"/>
      <c r="C57" s="134"/>
      <c r="D57" s="137"/>
      <c r="E57" s="186"/>
      <c r="F57" s="3" t="s">
        <v>857</v>
      </c>
      <c r="G57" s="3" t="s">
        <v>858</v>
      </c>
      <c r="H57" s="112"/>
      <c r="I57" s="1"/>
      <c r="J57" s="1"/>
      <c r="K57" s="1"/>
      <c r="L57" s="1"/>
      <c r="M57" s="1"/>
      <c r="N57" s="1"/>
      <c r="O57" s="1"/>
      <c r="P57" s="198"/>
      <c r="Q57" s="190"/>
      <c r="R57" s="206"/>
      <c r="S57" s="1"/>
      <c r="T57" s="1"/>
      <c r="U57" s="1"/>
      <c r="V57" s="1"/>
      <c r="W57" s="1"/>
      <c r="X57" s="1"/>
      <c r="Y57" s="1"/>
    </row>
    <row r="58" spans="1:25" ht="60" customHeight="1">
      <c r="A58" s="163"/>
      <c r="B58" s="118"/>
      <c r="C58" s="135"/>
      <c r="D58" s="137"/>
      <c r="E58" s="186"/>
      <c r="F58" s="72" t="s">
        <v>859</v>
      </c>
      <c r="G58" s="86" t="s">
        <v>860</v>
      </c>
      <c r="H58" s="112"/>
      <c r="I58" s="1"/>
      <c r="J58" s="1"/>
      <c r="K58" s="1"/>
      <c r="L58" s="1"/>
      <c r="M58" s="1"/>
      <c r="N58" s="1"/>
      <c r="O58" s="1"/>
      <c r="P58" s="198"/>
      <c r="Q58" s="190"/>
      <c r="R58" s="207"/>
      <c r="S58" s="1"/>
      <c r="T58" s="1"/>
      <c r="U58" s="1"/>
      <c r="V58" s="1"/>
      <c r="W58" s="1"/>
      <c r="X58" s="1"/>
      <c r="Y58" s="1"/>
    </row>
    <row r="59" spans="1:25" ht="60" customHeight="1">
      <c r="A59" s="164">
        <v>10</v>
      </c>
      <c r="B59" s="183" t="s">
        <v>709</v>
      </c>
      <c r="C59" s="134" t="s">
        <v>861</v>
      </c>
      <c r="D59" s="136" t="s">
        <v>862</v>
      </c>
      <c r="E59" s="139">
        <v>46156</v>
      </c>
      <c r="F59" s="69" t="s">
        <v>863</v>
      </c>
      <c r="G59" s="79" t="s">
        <v>864</v>
      </c>
      <c r="H59" s="112" t="s">
        <v>865</v>
      </c>
      <c r="I59" s="1"/>
      <c r="J59" s="1"/>
      <c r="K59" s="1"/>
      <c r="L59" s="1"/>
      <c r="M59" s="1"/>
      <c r="N59" s="1"/>
      <c r="O59" s="1"/>
      <c r="P59" s="197" t="s">
        <v>715</v>
      </c>
      <c r="Q59" s="193" t="s">
        <v>866</v>
      </c>
      <c r="R59" s="205" t="s">
        <v>867</v>
      </c>
      <c r="S59" s="1"/>
      <c r="T59" s="1"/>
      <c r="U59" s="1"/>
      <c r="V59" s="1"/>
      <c r="W59" s="1"/>
      <c r="X59" s="1"/>
      <c r="Y59" s="1"/>
    </row>
    <row r="60" spans="1:25" ht="60" customHeight="1">
      <c r="A60" s="162"/>
      <c r="B60" s="183"/>
      <c r="C60" s="134"/>
      <c r="D60" s="137"/>
      <c r="E60" s="139"/>
      <c r="F60" s="69" t="s">
        <v>868</v>
      </c>
      <c r="G60" s="79" t="s">
        <v>869</v>
      </c>
      <c r="H60" s="112"/>
      <c r="I60" s="1"/>
      <c r="J60" s="1"/>
      <c r="K60" s="1"/>
      <c r="L60" s="1"/>
      <c r="M60" s="1"/>
      <c r="N60" s="1"/>
      <c r="O60" s="1"/>
      <c r="P60" s="198"/>
      <c r="Q60" s="190"/>
      <c r="R60" s="206"/>
      <c r="S60" s="1"/>
      <c r="T60" s="1"/>
      <c r="U60" s="1"/>
      <c r="V60" s="1"/>
      <c r="W60" s="1"/>
      <c r="X60" s="1"/>
      <c r="Y60" s="1"/>
    </row>
    <row r="61" spans="1:25" ht="60" customHeight="1">
      <c r="A61" s="162"/>
      <c r="B61" s="183"/>
      <c r="C61" s="134"/>
      <c r="D61" s="137"/>
      <c r="E61" s="139"/>
      <c r="F61" s="69" t="s">
        <v>870</v>
      </c>
      <c r="G61" s="69" t="s">
        <v>871</v>
      </c>
      <c r="H61" s="112"/>
      <c r="I61" s="1"/>
      <c r="J61" s="1"/>
      <c r="K61" s="1"/>
      <c r="L61" s="1"/>
      <c r="M61" s="1"/>
      <c r="N61" s="1"/>
      <c r="O61" s="1"/>
      <c r="P61" s="198"/>
      <c r="Q61" s="190"/>
      <c r="R61" s="206"/>
      <c r="S61" s="1"/>
      <c r="T61" s="1"/>
      <c r="U61" s="1"/>
      <c r="V61" s="1"/>
      <c r="W61" s="1"/>
      <c r="X61" s="1"/>
      <c r="Y61" s="1"/>
    </row>
    <row r="62" spans="1:25" ht="60" customHeight="1">
      <c r="A62" s="162"/>
      <c r="B62" s="183"/>
      <c r="C62" s="134"/>
      <c r="D62" s="137"/>
      <c r="E62" s="139"/>
      <c r="F62" s="69" t="s">
        <v>872</v>
      </c>
      <c r="G62" s="79" t="s">
        <v>873</v>
      </c>
      <c r="H62" s="112"/>
      <c r="I62" s="1"/>
      <c r="J62" s="1"/>
      <c r="K62" s="1"/>
      <c r="L62" s="1"/>
      <c r="M62" s="1"/>
      <c r="N62" s="1"/>
      <c r="O62" s="1"/>
      <c r="P62" s="198"/>
      <c r="Q62" s="190"/>
      <c r="R62" s="206"/>
      <c r="S62" s="1"/>
      <c r="T62" s="1"/>
      <c r="U62" s="1"/>
      <c r="V62" s="1"/>
      <c r="W62" s="1"/>
      <c r="X62" s="1"/>
      <c r="Y62" s="1"/>
    </row>
    <row r="63" spans="1:25" ht="60" customHeight="1">
      <c r="A63" s="162"/>
      <c r="B63" s="183"/>
      <c r="C63" s="134"/>
      <c r="D63" s="137"/>
      <c r="E63" s="139"/>
      <c r="F63" s="69" t="s">
        <v>874</v>
      </c>
      <c r="G63" s="79" t="s">
        <v>875</v>
      </c>
      <c r="H63" s="112"/>
      <c r="I63" s="1"/>
      <c r="J63" s="1"/>
      <c r="K63" s="1"/>
      <c r="L63" s="1"/>
      <c r="M63" s="1"/>
      <c r="N63" s="1"/>
      <c r="O63" s="1"/>
      <c r="P63" s="198"/>
      <c r="Q63" s="190"/>
      <c r="R63" s="206"/>
      <c r="S63" s="1"/>
      <c r="T63" s="1"/>
      <c r="U63" s="1"/>
      <c r="V63" s="1"/>
      <c r="W63" s="1"/>
      <c r="X63" s="1"/>
      <c r="Y63" s="1"/>
    </row>
    <row r="64" spans="1:25" ht="60" customHeight="1">
      <c r="A64" s="163"/>
      <c r="B64" s="184"/>
      <c r="C64" s="135"/>
      <c r="D64" s="138"/>
      <c r="E64" s="139"/>
      <c r="F64" s="69" t="s">
        <v>876</v>
      </c>
      <c r="G64" s="79" t="s">
        <v>877</v>
      </c>
      <c r="H64" s="113"/>
      <c r="I64" s="1"/>
      <c r="J64" s="1"/>
      <c r="K64" s="1"/>
      <c r="L64" s="1"/>
      <c r="M64" s="1"/>
      <c r="N64" s="1"/>
      <c r="O64" s="1"/>
      <c r="P64" s="198"/>
      <c r="Q64" s="191"/>
      <c r="R64" s="207"/>
      <c r="S64" s="1"/>
      <c r="T64" s="1"/>
      <c r="U64" s="1"/>
      <c r="V64" s="1"/>
      <c r="W64" s="1"/>
      <c r="X64" s="1"/>
      <c r="Y64" s="1"/>
    </row>
    <row r="65" spans="1:25" ht="60" customHeight="1">
      <c r="A65" s="144">
        <v>11</v>
      </c>
      <c r="B65" s="152" t="s">
        <v>709</v>
      </c>
      <c r="C65" s="141" t="s">
        <v>878</v>
      </c>
      <c r="D65" s="142" t="s">
        <v>879</v>
      </c>
      <c r="E65" s="143">
        <v>46160</v>
      </c>
      <c r="F65" s="68" t="s">
        <v>880</v>
      </c>
      <c r="G65" s="80" t="s">
        <v>881</v>
      </c>
      <c r="H65" s="112" t="s">
        <v>882</v>
      </c>
      <c r="I65" s="1"/>
      <c r="J65" s="1"/>
      <c r="K65" s="1"/>
      <c r="L65" s="1"/>
      <c r="M65" s="1"/>
      <c r="N65" s="1"/>
      <c r="O65" s="1"/>
      <c r="P65" s="197" t="s">
        <v>715</v>
      </c>
      <c r="Q65" s="190" t="s">
        <v>883</v>
      </c>
      <c r="R65" s="205" t="s">
        <v>884</v>
      </c>
      <c r="S65" s="1"/>
      <c r="T65" s="1"/>
      <c r="U65" s="1"/>
      <c r="V65" s="1"/>
      <c r="W65" s="1"/>
      <c r="X65" s="1"/>
      <c r="Y65" s="1"/>
    </row>
    <row r="66" spans="1:25" ht="60" customHeight="1">
      <c r="A66" s="145"/>
      <c r="B66" s="153"/>
      <c r="C66" s="141"/>
      <c r="D66" s="142"/>
      <c r="E66" s="139"/>
      <c r="F66" s="69" t="s">
        <v>885</v>
      </c>
      <c r="G66" s="79" t="s">
        <v>886</v>
      </c>
      <c r="H66" s="112"/>
      <c r="I66" s="1"/>
      <c r="J66" s="1"/>
      <c r="K66" s="1"/>
      <c r="L66" s="1"/>
      <c r="M66" s="1"/>
      <c r="N66" s="1"/>
      <c r="O66" s="1"/>
      <c r="P66" s="198"/>
      <c r="Q66" s="190"/>
      <c r="R66" s="206"/>
      <c r="S66" s="1"/>
      <c r="T66" s="1"/>
      <c r="U66" s="1"/>
      <c r="V66" s="1"/>
      <c r="W66" s="1"/>
      <c r="X66" s="1"/>
      <c r="Y66" s="1"/>
    </row>
    <row r="67" spans="1:25" ht="60" customHeight="1">
      <c r="A67" s="145"/>
      <c r="B67" s="153"/>
      <c r="C67" s="141"/>
      <c r="D67" s="142"/>
      <c r="E67" s="139"/>
      <c r="F67" s="69" t="s">
        <v>887</v>
      </c>
      <c r="G67" s="79" t="s">
        <v>888</v>
      </c>
      <c r="H67" s="112"/>
      <c r="I67" s="1"/>
      <c r="J67" s="1"/>
      <c r="K67" s="1"/>
      <c r="L67" s="1"/>
      <c r="M67" s="1"/>
      <c r="N67" s="1"/>
      <c r="O67" s="1"/>
      <c r="P67" s="198"/>
      <c r="Q67" s="190"/>
      <c r="R67" s="206"/>
      <c r="S67" s="1"/>
      <c r="T67" s="1"/>
      <c r="U67" s="1"/>
      <c r="V67" s="1"/>
      <c r="W67" s="1"/>
      <c r="X67" s="1"/>
      <c r="Y67" s="1"/>
    </row>
    <row r="68" spans="1:25" ht="60" customHeight="1">
      <c r="A68" s="145"/>
      <c r="B68" s="153"/>
      <c r="C68" s="141"/>
      <c r="D68" s="142"/>
      <c r="E68" s="139"/>
      <c r="F68" s="69" t="s">
        <v>889</v>
      </c>
      <c r="G68" s="79" t="s">
        <v>890</v>
      </c>
      <c r="H68" s="112"/>
      <c r="I68" s="1"/>
      <c r="J68" s="1"/>
      <c r="K68" s="1"/>
      <c r="L68" s="1"/>
      <c r="M68" s="1"/>
      <c r="N68" s="1"/>
      <c r="O68" s="1"/>
      <c r="P68" s="198"/>
      <c r="Q68" s="190"/>
      <c r="R68" s="206"/>
      <c r="S68" s="1"/>
      <c r="T68" s="1"/>
      <c r="U68" s="1"/>
      <c r="V68" s="1"/>
      <c r="W68" s="1"/>
      <c r="X68" s="1"/>
      <c r="Y68" s="1"/>
    </row>
    <row r="69" spans="1:25" ht="60" customHeight="1">
      <c r="A69" s="145"/>
      <c r="B69" s="153"/>
      <c r="C69" s="141"/>
      <c r="D69" s="142"/>
      <c r="E69" s="139"/>
      <c r="F69" s="69" t="s">
        <v>891</v>
      </c>
      <c r="G69" s="79" t="s">
        <v>892</v>
      </c>
      <c r="H69" s="112"/>
      <c r="I69" s="1"/>
      <c r="J69" s="1"/>
      <c r="K69" s="1"/>
      <c r="L69" s="1"/>
      <c r="M69" s="1"/>
      <c r="N69" s="1"/>
      <c r="O69" s="1"/>
      <c r="P69" s="198"/>
      <c r="Q69" s="190"/>
      <c r="R69" s="206"/>
      <c r="S69" s="1"/>
      <c r="T69" s="1"/>
      <c r="U69" s="1"/>
      <c r="V69" s="1"/>
      <c r="W69" s="1"/>
      <c r="X69" s="1"/>
      <c r="Y69" s="1"/>
    </row>
    <row r="70" spans="1:25" ht="60" customHeight="1">
      <c r="A70" s="146"/>
      <c r="B70" s="153"/>
      <c r="C70" s="128"/>
      <c r="D70" s="119"/>
      <c r="E70" s="139"/>
      <c r="F70" s="69" t="s">
        <v>893</v>
      </c>
      <c r="G70" s="79" t="s">
        <v>894</v>
      </c>
      <c r="H70" s="113"/>
      <c r="I70" s="1"/>
      <c r="J70" s="1"/>
      <c r="K70" s="1"/>
      <c r="L70" s="1"/>
      <c r="M70" s="1"/>
      <c r="N70" s="1"/>
      <c r="O70" s="1"/>
      <c r="P70" s="199"/>
      <c r="Q70" s="191"/>
      <c r="R70" s="207"/>
      <c r="S70" s="1"/>
      <c r="T70" s="1"/>
      <c r="U70" s="1"/>
      <c r="V70" s="1"/>
      <c r="W70" s="1"/>
      <c r="X70" s="1"/>
      <c r="Y70" s="1"/>
    </row>
    <row r="71" spans="1:25" ht="60" customHeight="1">
      <c r="A71" s="144">
        <v>12</v>
      </c>
      <c r="B71" s="118" t="s">
        <v>709</v>
      </c>
      <c r="C71" s="119" t="s">
        <v>895</v>
      </c>
      <c r="D71" s="119" t="s">
        <v>896</v>
      </c>
      <c r="E71" s="122">
        <v>46191</v>
      </c>
      <c r="F71" s="68" t="s">
        <v>829</v>
      </c>
      <c r="G71" s="80" t="s">
        <v>830</v>
      </c>
      <c r="H71" s="124" t="s">
        <v>897</v>
      </c>
      <c r="I71" s="1"/>
      <c r="J71" s="1"/>
      <c r="K71" s="1"/>
      <c r="L71" s="1"/>
      <c r="M71" s="1"/>
      <c r="N71" s="1"/>
      <c r="O71" s="1"/>
      <c r="P71" s="197" t="s">
        <v>715</v>
      </c>
      <c r="Q71" s="190" t="s">
        <v>883</v>
      </c>
      <c r="R71" s="205" t="s">
        <v>884</v>
      </c>
      <c r="S71" s="1"/>
      <c r="T71" s="1"/>
      <c r="U71" s="1"/>
      <c r="V71" s="1"/>
      <c r="W71" s="1"/>
      <c r="X71" s="1"/>
      <c r="Y71" s="1"/>
    </row>
    <row r="72" spans="1:25" ht="60" customHeight="1">
      <c r="A72" s="145"/>
      <c r="B72" s="116"/>
      <c r="C72" s="120"/>
      <c r="D72" s="120"/>
      <c r="E72" s="123"/>
      <c r="F72" s="69" t="s">
        <v>834</v>
      </c>
      <c r="G72" s="79" t="s">
        <v>835</v>
      </c>
      <c r="H72" s="124"/>
      <c r="I72" s="1"/>
      <c r="J72" s="1"/>
      <c r="K72" s="1"/>
      <c r="L72" s="1"/>
      <c r="M72" s="1"/>
      <c r="N72" s="1"/>
      <c r="O72" s="1"/>
      <c r="P72" s="198"/>
      <c r="Q72" s="190"/>
      <c r="R72" s="206"/>
      <c r="S72" s="1"/>
      <c r="T72" s="1"/>
      <c r="U72" s="1"/>
      <c r="V72" s="1"/>
      <c r="W72" s="1"/>
      <c r="X72" s="1"/>
      <c r="Y72" s="1"/>
    </row>
    <row r="73" spans="1:25" ht="60" customHeight="1">
      <c r="A73" s="145"/>
      <c r="B73" s="116"/>
      <c r="C73" s="120"/>
      <c r="D73" s="120"/>
      <c r="E73" s="123"/>
      <c r="F73" s="69" t="s">
        <v>836</v>
      </c>
      <c r="G73" s="79" t="s">
        <v>837</v>
      </c>
      <c r="H73" s="124"/>
      <c r="I73" s="1"/>
      <c r="J73" s="1"/>
      <c r="K73" s="1"/>
      <c r="L73" s="1"/>
      <c r="M73" s="1"/>
      <c r="N73" s="1"/>
      <c r="O73" s="1"/>
      <c r="P73" s="198"/>
      <c r="Q73" s="190"/>
      <c r="R73" s="206"/>
      <c r="S73" s="1"/>
      <c r="T73" s="1"/>
      <c r="U73" s="1"/>
      <c r="V73" s="1"/>
      <c r="W73" s="1"/>
      <c r="X73" s="1"/>
      <c r="Y73" s="1"/>
    </row>
    <row r="74" spans="1:25" ht="60" customHeight="1">
      <c r="A74" s="145"/>
      <c r="B74" s="116"/>
      <c r="C74" s="120"/>
      <c r="D74" s="120"/>
      <c r="E74" s="123"/>
      <c r="F74" s="69" t="s">
        <v>838</v>
      </c>
      <c r="G74" s="79" t="s">
        <v>839</v>
      </c>
      <c r="H74" s="124"/>
      <c r="I74" s="1"/>
      <c r="J74" s="1"/>
      <c r="K74" s="1"/>
      <c r="L74" s="1"/>
      <c r="M74" s="1"/>
      <c r="N74" s="1"/>
      <c r="O74" s="1"/>
      <c r="P74" s="198"/>
      <c r="Q74" s="190"/>
      <c r="R74" s="206"/>
      <c r="S74" s="1"/>
      <c r="T74" s="1"/>
      <c r="U74" s="1"/>
      <c r="V74" s="1"/>
      <c r="W74" s="1"/>
      <c r="X74" s="1"/>
      <c r="Y74" s="1"/>
    </row>
    <row r="75" spans="1:25" ht="60" customHeight="1">
      <c r="A75" s="145"/>
      <c r="B75" s="116"/>
      <c r="C75" s="120"/>
      <c r="D75" s="120"/>
      <c r="E75" s="123"/>
      <c r="F75" s="69" t="s">
        <v>840</v>
      </c>
      <c r="G75" s="79" t="s">
        <v>841</v>
      </c>
      <c r="H75" s="124"/>
      <c r="I75" s="1"/>
      <c r="J75" s="1"/>
      <c r="K75" s="1"/>
      <c r="L75" s="1"/>
      <c r="M75" s="1"/>
      <c r="N75" s="1"/>
      <c r="O75" s="1"/>
      <c r="P75" s="198"/>
      <c r="Q75" s="190"/>
      <c r="R75" s="206"/>
      <c r="S75" s="1"/>
      <c r="T75" s="1"/>
      <c r="U75" s="1"/>
      <c r="V75" s="1"/>
      <c r="W75" s="1"/>
      <c r="X75" s="1"/>
      <c r="Y75" s="1"/>
    </row>
    <row r="76" spans="1:25" ht="60" customHeight="1">
      <c r="A76" s="146"/>
      <c r="B76" s="117"/>
      <c r="C76" s="121"/>
      <c r="D76" s="121"/>
      <c r="E76" s="123"/>
      <c r="F76" s="71" t="s">
        <v>842</v>
      </c>
      <c r="G76" s="81" t="s">
        <v>843</v>
      </c>
      <c r="H76" s="124"/>
      <c r="I76" s="1"/>
      <c r="J76" s="1"/>
      <c r="K76" s="1"/>
      <c r="L76" s="1"/>
      <c r="M76" s="1"/>
      <c r="N76" s="1"/>
      <c r="O76" s="1"/>
      <c r="P76" s="198"/>
      <c r="Q76" s="191"/>
      <c r="R76" s="207"/>
      <c r="S76" s="1"/>
      <c r="T76" s="1"/>
      <c r="U76" s="1"/>
      <c r="V76" s="1"/>
      <c r="W76" s="1"/>
      <c r="X76" s="1"/>
      <c r="Y76" s="1"/>
    </row>
    <row r="77" spans="1:25" ht="60" customHeight="1">
      <c r="A77" s="147">
        <v>13</v>
      </c>
      <c r="B77" s="125" t="s">
        <v>709</v>
      </c>
      <c r="C77" s="128" t="s">
        <v>898</v>
      </c>
      <c r="D77" s="131" t="s">
        <v>123</v>
      </c>
      <c r="E77" s="139">
        <v>46154</v>
      </c>
      <c r="F77" s="69" t="s">
        <v>899</v>
      </c>
      <c r="G77" s="79" t="s">
        <v>900</v>
      </c>
      <c r="H77" s="113" t="s">
        <v>901</v>
      </c>
      <c r="I77" s="1"/>
      <c r="J77" s="1"/>
      <c r="K77" s="1"/>
      <c r="L77" s="1"/>
      <c r="M77" s="1"/>
      <c r="N77" s="1"/>
      <c r="O77" s="1"/>
      <c r="P77" s="200" t="s">
        <v>800</v>
      </c>
      <c r="Q77" s="193" t="s">
        <v>902</v>
      </c>
      <c r="R77" s="205" t="s">
        <v>903</v>
      </c>
      <c r="S77" s="1"/>
      <c r="T77" s="1"/>
      <c r="U77" s="1"/>
      <c r="V77" s="1"/>
      <c r="W77" s="1"/>
      <c r="X77" s="1"/>
      <c r="Y77" s="1"/>
    </row>
    <row r="78" spans="1:25" ht="60" customHeight="1">
      <c r="A78" s="148"/>
      <c r="B78" s="126"/>
      <c r="C78" s="129"/>
      <c r="D78" s="132"/>
      <c r="E78" s="139"/>
      <c r="F78" s="69" t="s">
        <v>904</v>
      </c>
      <c r="G78" s="79" t="s">
        <v>905</v>
      </c>
      <c r="H78" s="114"/>
      <c r="I78" s="1"/>
      <c r="J78" s="1"/>
      <c r="K78" s="1"/>
      <c r="L78" s="1"/>
      <c r="M78" s="1"/>
      <c r="N78" s="1"/>
      <c r="O78" s="1"/>
      <c r="P78" s="201"/>
      <c r="Q78" s="190"/>
      <c r="R78" s="206"/>
      <c r="S78" s="1"/>
      <c r="T78" s="1"/>
      <c r="U78" s="1"/>
      <c r="V78" s="1"/>
      <c r="W78" s="1"/>
      <c r="X78" s="1"/>
      <c r="Y78" s="1"/>
    </row>
    <row r="79" spans="1:25" ht="60" customHeight="1">
      <c r="A79" s="148"/>
      <c r="B79" s="126"/>
      <c r="C79" s="129"/>
      <c r="D79" s="132"/>
      <c r="E79" s="139"/>
      <c r="F79" s="69" t="s">
        <v>906</v>
      </c>
      <c r="G79" s="82" t="s">
        <v>907</v>
      </c>
      <c r="H79" s="114"/>
      <c r="I79" s="1"/>
      <c r="J79" s="1"/>
      <c r="K79" s="1"/>
      <c r="L79" s="1"/>
      <c r="M79" s="1"/>
      <c r="N79" s="1"/>
      <c r="O79" s="1"/>
      <c r="P79" s="201"/>
      <c r="Q79" s="190"/>
      <c r="R79" s="206"/>
      <c r="S79" s="1"/>
      <c r="T79" s="1"/>
      <c r="U79" s="1"/>
      <c r="V79" s="1"/>
      <c r="W79" s="1"/>
      <c r="X79" s="1"/>
      <c r="Y79" s="1"/>
    </row>
    <row r="80" spans="1:25" ht="60" customHeight="1">
      <c r="A80" s="148"/>
      <c r="B80" s="126"/>
      <c r="C80" s="129"/>
      <c r="D80" s="132"/>
      <c r="E80" s="139"/>
      <c r="F80" s="69" t="s">
        <v>908</v>
      </c>
      <c r="G80" s="82" t="s">
        <v>909</v>
      </c>
      <c r="H80" s="114"/>
      <c r="I80" s="1"/>
      <c r="J80" s="1"/>
      <c r="K80" s="1"/>
      <c r="L80" s="1"/>
      <c r="M80" s="1"/>
      <c r="N80" s="1"/>
      <c r="O80" s="1"/>
      <c r="P80" s="201"/>
      <c r="Q80" s="190"/>
      <c r="R80" s="206"/>
      <c r="S80" s="1"/>
      <c r="T80" s="1"/>
      <c r="U80" s="1"/>
      <c r="V80" s="1"/>
      <c r="W80" s="1"/>
      <c r="X80" s="1"/>
      <c r="Y80" s="1"/>
    </row>
    <row r="81" spans="1:25" ht="60" customHeight="1">
      <c r="A81" s="148"/>
      <c r="B81" s="126"/>
      <c r="C81" s="129"/>
      <c r="D81" s="132"/>
      <c r="E81" s="139"/>
      <c r="F81" s="69" t="s">
        <v>910</v>
      </c>
      <c r="G81" s="82" t="s">
        <v>911</v>
      </c>
      <c r="H81" s="114"/>
      <c r="I81" s="1"/>
      <c r="J81" s="1"/>
      <c r="K81" s="1"/>
      <c r="L81" s="1"/>
      <c r="M81" s="1"/>
      <c r="N81" s="1"/>
      <c r="O81" s="1"/>
      <c r="P81" s="201"/>
      <c r="Q81" s="190"/>
      <c r="R81" s="206"/>
      <c r="S81" s="1"/>
      <c r="T81" s="1"/>
      <c r="U81" s="1"/>
      <c r="V81" s="1"/>
      <c r="W81" s="1"/>
      <c r="X81" s="1"/>
      <c r="Y81" s="1"/>
    </row>
    <row r="82" spans="1:25" ht="60" customHeight="1">
      <c r="A82" s="149"/>
      <c r="B82" s="127"/>
      <c r="C82" s="130"/>
      <c r="D82" s="133"/>
      <c r="E82" s="139"/>
      <c r="F82" s="69" t="s">
        <v>912</v>
      </c>
      <c r="G82" s="82" t="s">
        <v>913</v>
      </c>
      <c r="H82" s="111"/>
      <c r="I82" s="1"/>
      <c r="J82" s="1"/>
      <c r="K82" s="1"/>
      <c r="L82" s="1"/>
      <c r="M82" s="1"/>
      <c r="N82" s="1"/>
      <c r="O82" s="1"/>
      <c r="P82" s="201"/>
      <c r="Q82" s="191"/>
      <c r="R82" s="207"/>
      <c r="S82" s="1"/>
      <c r="T82" s="1"/>
      <c r="U82" s="1"/>
      <c r="V82" s="1"/>
      <c r="W82" s="1"/>
      <c r="X82" s="1"/>
      <c r="Y82" s="1"/>
    </row>
    <row r="83" spans="1:25" ht="60" customHeight="1">
      <c r="A83" s="147">
        <v>14</v>
      </c>
      <c r="B83" s="140" t="s">
        <v>709</v>
      </c>
      <c r="C83" s="142" t="s">
        <v>914</v>
      </c>
      <c r="D83" s="150" t="s">
        <v>351</v>
      </c>
      <c r="E83" s="139">
        <v>46153</v>
      </c>
      <c r="F83" s="68" t="s">
        <v>813</v>
      </c>
      <c r="G83" s="84" t="s">
        <v>814</v>
      </c>
      <c r="H83" s="111" t="s">
        <v>815</v>
      </c>
      <c r="I83" s="1"/>
      <c r="J83" s="1"/>
      <c r="K83" s="1"/>
      <c r="L83" s="1"/>
      <c r="M83" s="1"/>
      <c r="N83" s="1"/>
      <c r="O83" s="1"/>
      <c r="P83" s="197" t="s">
        <v>715</v>
      </c>
      <c r="Q83" s="193" t="s">
        <v>915</v>
      </c>
      <c r="R83" s="205" t="s">
        <v>916</v>
      </c>
      <c r="S83" s="1"/>
      <c r="T83" s="1"/>
      <c r="U83" s="1"/>
      <c r="V83" s="1"/>
      <c r="W83" s="1"/>
      <c r="X83" s="1"/>
      <c r="Y83" s="1"/>
    </row>
    <row r="84" spans="1:25" ht="60" customHeight="1">
      <c r="A84" s="148"/>
      <c r="B84" s="140"/>
      <c r="C84" s="142"/>
      <c r="D84" s="142"/>
      <c r="E84" s="139"/>
      <c r="F84" s="69" t="s">
        <v>818</v>
      </c>
      <c r="G84" s="85" t="s">
        <v>905</v>
      </c>
      <c r="H84" s="112"/>
      <c r="I84" s="1"/>
      <c r="J84" s="1"/>
      <c r="K84" s="1"/>
      <c r="L84" s="1"/>
      <c r="M84" s="1"/>
      <c r="N84" s="1"/>
      <c r="O84" s="1"/>
      <c r="P84" s="198"/>
      <c r="Q84" s="190"/>
      <c r="R84" s="206"/>
      <c r="S84" s="1"/>
      <c r="T84" s="1"/>
      <c r="U84" s="1"/>
      <c r="V84" s="1"/>
      <c r="W84" s="1"/>
      <c r="X84" s="1"/>
      <c r="Y84" s="1"/>
    </row>
    <row r="85" spans="1:25" ht="60" customHeight="1">
      <c r="A85" s="148"/>
      <c r="B85" s="140"/>
      <c r="C85" s="142"/>
      <c r="D85" s="142"/>
      <c r="E85" s="139"/>
      <c r="F85" s="69" t="s">
        <v>820</v>
      </c>
      <c r="G85" s="69" t="s">
        <v>821</v>
      </c>
      <c r="H85" s="112"/>
      <c r="I85" s="1"/>
      <c r="J85" s="1"/>
      <c r="K85" s="1"/>
      <c r="L85" s="1"/>
      <c r="M85" s="1"/>
      <c r="N85" s="1"/>
      <c r="O85" s="1"/>
      <c r="P85" s="198"/>
      <c r="Q85" s="190"/>
      <c r="R85" s="206"/>
      <c r="S85" s="1"/>
      <c r="T85" s="1"/>
      <c r="U85" s="1"/>
      <c r="V85" s="1"/>
      <c r="W85" s="1"/>
      <c r="X85" s="1"/>
      <c r="Y85" s="1"/>
    </row>
    <row r="86" spans="1:25" ht="60" customHeight="1">
      <c r="A86" s="148"/>
      <c r="B86" s="140"/>
      <c r="C86" s="142"/>
      <c r="D86" s="142"/>
      <c r="E86" s="139"/>
      <c r="F86" s="69" t="s">
        <v>822</v>
      </c>
      <c r="G86" s="69" t="s">
        <v>823</v>
      </c>
      <c r="H86" s="112"/>
      <c r="I86" s="1"/>
      <c r="J86" s="1"/>
      <c r="K86" s="1"/>
      <c r="L86" s="1"/>
      <c r="M86" s="1"/>
      <c r="N86" s="1"/>
      <c r="O86" s="1"/>
      <c r="P86" s="198"/>
      <c r="Q86" s="190"/>
      <c r="R86" s="206"/>
      <c r="S86" s="1"/>
      <c r="T86" s="1"/>
      <c r="U86" s="1"/>
      <c r="V86" s="1"/>
      <c r="W86" s="1"/>
      <c r="X86" s="1"/>
      <c r="Y86" s="1"/>
    </row>
    <row r="87" spans="1:25" ht="60" customHeight="1">
      <c r="A87" s="148"/>
      <c r="B87" s="140"/>
      <c r="C87" s="142"/>
      <c r="D87" s="142"/>
      <c r="E87" s="139"/>
      <c r="F87" s="69" t="s">
        <v>824</v>
      </c>
      <c r="G87" s="69" t="s">
        <v>825</v>
      </c>
      <c r="H87" s="112"/>
      <c r="I87" s="1"/>
      <c r="J87" s="1"/>
      <c r="K87" s="1"/>
      <c r="L87" s="1"/>
      <c r="M87" s="1"/>
      <c r="N87" s="1"/>
      <c r="O87" s="1"/>
      <c r="P87" s="198"/>
      <c r="Q87" s="190"/>
      <c r="R87" s="206"/>
      <c r="S87" s="1"/>
      <c r="T87" s="1"/>
      <c r="U87" s="1"/>
      <c r="V87" s="1"/>
      <c r="W87" s="1"/>
      <c r="X87" s="1"/>
      <c r="Y87" s="1"/>
    </row>
    <row r="88" spans="1:25" ht="60" customHeight="1">
      <c r="A88" s="149"/>
      <c r="B88" s="140"/>
      <c r="C88" s="142"/>
      <c r="D88" s="142"/>
      <c r="E88" s="151"/>
      <c r="F88" s="71" t="s">
        <v>826</v>
      </c>
      <c r="G88" s="83" t="s">
        <v>827</v>
      </c>
      <c r="H88" s="112"/>
      <c r="I88" s="1"/>
      <c r="J88" s="1"/>
      <c r="K88" s="1"/>
      <c r="L88" s="1"/>
      <c r="M88" s="1"/>
      <c r="N88" s="1"/>
      <c r="O88" s="1"/>
      <c r="P88" s="199"/>
      <c r="Q88" s="191"/>
      <c r="R88" s="207"/>
      <c r="S88" s="1"/>
      <c r="T88" s="1"/>
      <c r="U88" s="1"/>
      <c r="V88" s="1"/>
      <c r="W88" s="1"/>
      <c r="X88" s="1"/>
      <c r="Y88" s="1"/>
    </row>
    <row r="89" spans="1:25">
      <c r="A89" s="1"/>
      <c r="B89" s="1"/>
      <c r="C89" s="1"/>
      <c r="D89" s="1"/>
      <c r="E89" s="1"/>
      <c r="F89" s="1"/>
      <c r="G89" s="1"/>
      <c r="H89" s="1"/>
      <c r="I89" s="1"/>
      <c r="J89" s="1"/>
      <c r="K89" s="1"/>
      <c r="L89" s="1"/>
      <c r="M89" s="1"/>
      <c r="N89" s="1"/>
      <c r="O89" s="1"/>
      <c r="P89" s="102"/>
      <c r="Q89" s="104"/>
      <c r="R89" s="104"/>
      <c r="S89" s="1"/>
      <c r="T89" s="1"/>
      <c r="U89" s="1"/>
      <c r="V89" s="1"/>
      <c r="W89" s="1"/>
      <c r="X89" s="1"/>
      <c r="Y89" s="1"/>
    </row>
    <row r="90" spans="1:25">
      <c r="A90" s="1"/>
      <c r="B90" s="1"/>
      <c r="C90" s="1"/>
      <c r="D90" s="1"/>
      <c r="E90" s="1"/>
      <c r="F90" s="1"/>
      <c r="G90" s="1"/>
      <c r="H90" s="1"/>
      <c r="I90" s="1"/>
      <c r="J90" s="1"/>
      <c r="K90" s="1"/>
      <c r="L90" s="1"/>
      <c r="M90" s="1"/>
      <c r="N90" s="1"/>
      <c r="O90" s="1"/>
      <c r="P90" s="1"/>
      <c r="Q90" s="104"/>
      <c r="R90" s="104"/>
      <c r="S90" s="1"/>
      <c r="T90" s="1"/>
      <c r="U90" s="1"/>
      <c r="V90" s="1"/>
      <c r="W90" s="1"/>
      <c r="X90" s="1"/>
      <c r="Y90" s="1"/>
    </row>
    <row r="91" spans="1:25">
      <c r="A91" s="1"/>
      <c r="B91" s="1"/>
      <c r="C91" s="1"/>
      <c r="D91" s="1"/>
      <c r="E91" s="1"/>
      <c r="F91" s="1"/>
      <c r="G91" s="1"/>
      <c r="H91" s="1"/>
      <c r="I91" s="1"/>
      <c r="J91" s="1"/>
      <c r="K91" s="1"/>
      <c r="L91" s="1"/>
      <c r="M91" s="1"/>
      <c r="N91" s="1"/>
      <c r="O91" s="1"/>
      <c r="P91" s="1"/>
      <c r="Q91" s="104"/>
      <c r="R91" s="104"/>
      <c r="S91" s="1"/>
      <c r="T91" s="1"/>
      <c r="U91" s="1"/>
      <c r="V91" s="1"/>
      <c r="W91" s="1"/>
      <c r="X91" s="1"/>
      <c r="Y91" s="1"/>
    </row>
    <row r="92" spans="1:25">
      <c r="A92" s="1"/>
      <c r="B92" s="1"/>
      <c r="C92" s="1"/>
      <c r="D92" s="1"/>
      <c r="E92" s="1"/>
      <c r="F92" s="1"/>
      <c r="G92" s="1"/>
      <c r="H92" s="1"/>
      <c r="I92" s="1"/>
      <c r="J92" s="1"/>
      <c r="K92" s="1"/>
      <c r="L92" s="1"/>
      <c r="M92" s="1"/>
      <c r="N92" s="1"/>
      <c r="O92" s="1"/>
      <c r="P92" s="1"/>
      <c r="Q92" s="104"/>
      <c r="R92" s="104"/>
      <c r="S92" s="1"/>
      <c r="T92" s="1"/>
      <c r="U92" s="1"/>
      <c r="V92" s="1"/>
      <c r="W92" s="1"/>
      <c r="X92" s="1"/>
      <c r="Y92" s="1"/>
    </row>
    <row r="93" spans="1:25">
      <c r="A93" s="1"/>
      <c r="B93" s="1"/>
      <c r="C93" s="1"/>
      <c r="D93" s="1"/>
      <c r="E93" s="1"/>
      <c r="F93" s="1"/>
      <c r="G93" s="1"/>
      <c r="H93" s="1"/>
      <c r="I93" s="1"/>
      <c r="J93" s="1"/>
      <c r="K93" s="1"/>
      <c r="L93" s="1"/>
      <c r="M93" s="1"/>
      <c r="N93" s="1"/>
      <c r="O93" s="1"/>
      <c r="P93" s="1"/>
      <c r="Q93" s="104"/>
      <c r="R93" s="104"/>
      <c r="S93" s="1"/>
      <c r="T93" s="1"/>
      <c r="U93" s="1"/>
      <c r="V93" s="1"/>
      <c r="W93" s="1"/>
      <c r="X93" s="1"/>
      <c r="Y93" s="1"/>
    </row>
    <row r="94" spans="1:25">
      <c r="A94" s="1"/>
      <c r="B94" s="1"/>
      <c r="C94" s="1"/>
      <c r="D94" s="1"/>
      <c r="E94" s="1"/>
      <c r="F94" s="1"/>
      <c r="G94" s="1"/>
      <c r="H94" s="1"/>
      <c r="I94" s="1"/>
      <c r="J94" s="1"/>
      <c r="K94" s="1"/>
      <c r="L94" s="1"/>
      <c r="M94" s="1"/>
      <c r="N94" s="1"/>
      <c r="O94" s="1"/>
      <c r="P94" s="1"/>
      <c r="Q94" s="104"/>
      <c r="R94" s="104"/>
      <c r="S94" s="1"/>
      <c r="T94" s="1"/>
      <c r="U94" s="1"/>
      <c r="V94" s="1"/>
      <c r="W94" s="1"/>
      <c r="X94" s="1"/>
      <c r="Y94" s="1"/>
    </row>
    <row r="95" spans="1:25">
      <c r="A95" s="1"/>
      <c r="B95" s="1"/>
      <c r="C95" s="1"/>
      <c r="D95" s="1"/>
      <c r="E95" s="1"/>
      <c r="F95" s="1"/>
      <c r="G95" s="1"/>
      <c r="H95" s="1"/>
      <c r="I95" s="1"/>
      <c r="J95" s="1"/>
      <c r="K95" s="1"/>
      <c r="L95" s="1"/>
      <c r="M95" s="1"/>
      <c r="N95" s="1"/>
      <c r="O95" s="1"/>
      <c r="P95" s="1"/>
      <c r="Q95" s="104"/>
      <c r="R95" s="104"/>
      <c r="S95" s="1"/>
      <c r="T95" s="1"/>
      <c r="U95" s="1"/>
      <c r="V95" s="1"/>
      <c r="W95" s="1"/>
      <c r="X95" s="1"/>
      <c r="Y95" s="1"/>
    </row>
    <row r="96" spans="1:25">
      <c r="A96" s="1"/>
      <c r="B96" s="1"/>
      <c r="C96" s="1"/>
      <c r="D96" s="1"/>
      <c r="E96" s="1"/>
      <c r="F96" s="1"/>
      <c r="G96" s="1"/>
      <c r="H96" s="1"/>
      <c r="I96" s="1"/>
      <c r="J96" s="1"/>
      <c r="K96" s="1"/>
      <c r="L96" s="1"/>
      <c r="M96" s="1"/>
      <c r="N96" s="1"/>
      <c r="O96" s="1"/>
      <c r="P96" s="1"/>
      <c r="Q96" s="104"/>
      <c r="R96" s="104"/>
      <c r="S96" s="1"/>
      <c r="T96" s="1"/>
      <c r="U96" s="1"/>
      <c r="V96" s="1"/>
      <c r="W96" s="1"/>
      <c r="X96" s="1"/>
      <c r="Y96" s="1"/>
    </row>
    <row r="97" spans="1:25">
      <c r="A97" s="1"/>
      <c r="B97" s="1"/>
      <c r="C97" s="1"/>
      <c r="D97" s="1"/>
      <c r="E97" s="1"/>
      <c r="F97" s="1"/>
      <c r="G97" s="1"/>
      <c r="H97" s="1"/>
      <c r="I97" s="1"/>
      <c r="J97" s="1"/>
      <c r="K97" s="1"/>
      <c r="L97" s="1"/>
      <c r="M97" s="1"/>
      <c r="N97" s="1"/>
      <c r="O97" s="1"/>
      <c r="P97" s="1"/>
      <c r="Q97" s="104"/>
      <c r="R97" s="104"/>
      <c r="S97" s="1"/>
      <c r="T97" s="1"/>
      <c r="U97" s="1"/>
      <c r="V97" s="1"/>
      <c r="W97" s="1"/>
      <c r="X97" s="1"/>
      <c r="Y97" s="1"/>
    </row>
    <row r="98" spans="1:25">
      <c r="A98" s="1"/>
      <c r="B98" s="1"/>
      <c r="C98" s="1"/>
      <c r="D98" s="1"/>
      <c r="E98" s="1"/>
      <c r="F98" s="1"/>
      <c r="G98" s="1"/>
      <c r="H98" s="1"/>
      <c r="I98" s="1"/>
      <c r="J98" s="1"/>
      <c r="K98" s="1"/>
      <c r="L98" s="1"/>
      <c r="M98" s="1"/>
      <c r="N98" s="1"/>
      <c r="O98" s="1"/>
      <c r="P98" s="1"/>
      <c r="Q98" s="104"/>
      <c r="R98" s="104"/>
      <c r="S98" s="1"/>
      <c r="T98" s="1"/>
      <c r="U98" s="1"/>
      <c r="V98" s="1"/>
      <c r="W98" s="1"/>
      <c r="X98" s="1"/>
      <c r="Y98" s="1"/>
    </row>
    <row r="99" spans="1:25">
      <c r="A99" s="1"/>
      <c r="B99" s="1"/>
      <c r="C99" s="1"/>
      <c r="D99" s="1"/>
      <c r="E99" s="1"/>
      <c r="F99" s="1"/>
      <c r="G99" s="1"/>
      <c r="H99" s="1"/>
      <c r="I99" s="1"/>
      <c r="J99" s="1"/>
      <c r="K99" s="1"/>
      <c r="L99" s="1"/>
      <c r="M99" s="1"/>
      <c r="N99" s="1"/>
      <c r="O99" s="1"/>
      <c r="P99" s="1"/>
      <c r="Q99" s="104"/>
      <c r="R99" s="104"/>
      <c r="S99" s="1"/>
      <c r="T99" s="1"/>
      <c r="U99" s="1"/>
      <c r="V99" s="1"/>
      <c r="W99" s="1"/>
      <c r="X99" s="1"/>
      <c r="Y99" s="1"/>
    </row>
    <row r="100" spans="1:25">
      <c r="A100" s="1"/>
      <c r="B100" s="1"/>
      <c r="C100" s="1"/>
      <c r="D100" s="1"/>
      <c r="E100" s="1"/>
      <c r="F100" s="1"/>
      <c r="G100" s="1"/>
      <c r="H100" s="1"/>
      <c r="I100" s="1"/>
      <c r="J100" s="1"/>
      <c r="K100" s="1"/>
      <c r="L100" s="1"/>
      <c r="M100" s="1"/>
      <c r="N100" s="1"/>
      <c r="O100" s="1"/>
      <c r="P100" s="1"/>
      <c r="Q100" s="104"/>
      <c r="R100" s="104"/>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04"/>
      <c r="R101" s="104"/>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04"/>
      <c r="R102" s="104"/>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04"/>
      <c r="R103" s="104"/>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04"/>
      <c r="R104" s="104"/>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04"/>
      <c r="R105" s="104"/>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04"/>
      <c r="R106" s="104"/>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04"/>
      <c r="R107" s="104"/>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04"/>
      <c r="R108" s="104"/>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04"/>
      <c r="R109" s="104"/>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04"/>
      <c r="R110" s="104"/>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04"/>
      <c r="R111" s="104"/>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04"/>
      <c r="R112" s="104"/>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04"/>
      <c r="R113" s="104"/>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04"/>
      <c r="R114" s="104"/>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04"/>
      <c r="R115" s="104"/>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04"/>
      <c r="R116" s="104"/>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04"/>
      <c r="R117" s="104"/>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04"/>
      <c r="R118" s="104"/>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04"/>
      <c r="R119" s="104"/>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04"/>
      <c r="R120" s="104"/>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04"/>
      <c r="R121" s="104"/>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04"/>
      <c r="R122" s="104"/>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04"/>
      <c r="R123" s="104"/>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04"/>
      <c r="R124" s="104"/>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04"/>
      <c r="R125" s="104"/>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04"/>
      <c r="R126" s="104"/>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04"/>
      <c r="R127" s="104"/>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04"/>
      <c r="R128" s="104"/>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04"/>
      <c r="R129" s="104"/>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04"/>
      <c r="R130" s="104"/>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04"/>
      <c r="R131" s="104"/>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04"/>
      <c r="R132" s="104"/>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04"/>
      <c r="R133" s="104"/>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04"/>
      <c r="R134" s="104"/>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04"/>
      <c r="R135" s="104"/>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04"/>
      <c r="R136" s="104"/>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04"/>
      <c r="R137" s="104"/>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04"/>
      <c r="R138" s="104"/>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04"/>
      <c r="R139" s="104"/>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04"/>
      <c r="R140" s="104"/>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04"/>
      <c r="R141" s="104"/>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04"/>
      <c r="R142" s="104"/>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04"/>
      <c r="R143" s="104"/>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04"/>
      <c r="R144" s="104"/>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04"/>
      <c r="R145" s="104"/>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04"/>
      <c r="R146" s="104"/>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04"/>
      <c r="R147" s="104"/>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04"/>
      <c r="R148" s="104"/>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04"/>
      <c r="R149" s="104"/>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04"/>
      <c r="R150" s="104"/>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04"/>
      <c r="R151" s="104"/>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04"/>
      <c r="R152" s="104"/>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04"/>
      <c r="R153" s="104"/>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04"/>
      <c r="R154" s="104"/>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04"/>
      <c r="R155" s="104"/>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04"/>
      <c r="R156" s="104"/>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04"/>
      <c r="R157" s="104"/>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04"/>
      <c r="R158" s="104"/>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04"/>
      <c r="R159" s="104"/>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04"/>
      <c r="R160" s="104"/>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04"/>
      <c r="R161" s="104"/>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04"/>
      <c r="R162" s="104"/>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04"/>
      <c r="R163" s="104"/>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04"/>
      <c r="R164" s="104"/>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04"/>
      <c r="R165" s="104"/>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04"/>
      <c r="R166" s="104"/>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04"/>
      <c r="R167" s="104"/>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04"/>
      <c r="R168" s="104"/>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04"/>
      <c r="R169" s="104"/>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04"/>
      <c r="R170" s="104"/>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04"/>
      <c r="R171" s="104"/>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04"/>
      <c r="R172" s="104"/>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04"/>
      <c r="R173" s="104"/>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04"/>
      <c r="R174" s="104"/>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04"/>
      <c r="R175" s="104"/>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04"/>
      <c r="R176" s="104"/>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04"/>
      <c r="R177" s="104"/>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04"/>
      <c r="R178" s="104"/>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04"/>
      <c r="R179" s="104"/>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04"/>
      <c r="R180" s="104"/>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04"/>
      <c r="R181" s="104"/>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04"/>
      <c r="R182" s="104"/>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04"/>
      <c r="R183" s="104"/>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04"/>
      <c r="R184" s="104"/>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04"/>
      <c r="R185" s="104"/>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04"/>
      <c r="R186" s="104"/>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04"/>
      <c r="R187" s="104"/>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04"/>
      <c r="R188" s="104"/>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04"/>
      <c r="R189" s="104"/>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04"/>
      <c r="R190" s="104"/>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04"/>
      <c r="R191" s="104"/>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04"/>
      <c r="R192" s="104"/>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04"/>
      <c r="R193" s="104"/>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04"/>
      <c r="R194" s="104"/>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04"/>
      <c r="R195" s="104"/>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04"/>
      <c r="R196" s="104"/>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04"/>
      <c r="R197" s="104"/>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04"/>
      <c r="R198" s="104"/>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04"/>
      <c r="R199" s="104"/>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04"/>
      <c r="R200" s="104"/>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04"/>
      <c r="R201" s="104"/>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04"/>
      <c r="R202" s="104"/>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04"/>
      <c r="R203" s="104"/>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04"/>
      <c r="R204" s="104"/>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04"/>
      <c r="R205" s="104"/>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04"/>
      <c r="R206" s="104"/>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04"/>
      <c r="R207" s="104"/>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04"/>
      <c r="R208" s="104"/>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04"/>
      <c r="R209" s="104"/>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04"/>
      <c r="R210" s="104"/>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04"/>
      <c r="R211" s="104"/>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04"/>
      <c r="R212" s="104"/>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04"/>
      <c r="R213" s="104"/>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04"/>
      <c r="R214" s="104"/>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04"/>
      <c r="R215" s="104"/>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04"/>
      <c r="R216" s="104"/>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04"/>
      <c r="R217" s="104"/>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04"/>
      <c r="R218" s="104"/>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04"/>
      <c r="R219" s="104"/>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04"/>
      <c r="R220" s="104"/>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04"/>
      <c r="R221" s="104"/>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04"/>
      <c r="R222" s="104"/>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04"/>
      <c r="R223" s="104"/>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04"/>
      <c r="R224" s="104"/>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04"/>
      <c r="R225" s="104"/>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04"/>
      <c r="R226" s="104"/>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04"/>
      <c r="R227" s="104"/>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04"/>
      <c r="R228" s="104"/>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04"/>
      <c r="R229" s="104"/>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04"/>
      <c r="R230" s="104"/>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04"/>
      <c r="R231" s="104"/>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04"/>
      <c r="R232" s="104"/>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04"/>
      <c r="R233" s="104"/>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04"/>
      <c r="R234" s="104"/>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04"/>
      <c r="R235" s="104"/>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04"/>
      <c r="R236" s="104"/>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04"/>
      <c r="R237" s="104"/>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04"/>
      <c r="R238" s="104"/>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04"/>
      <c r="R239" s="104"/>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04"/>
      <c r="R240" s="104"/>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04"/>
      <c r="R241" s="104"/>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04"/>
      <c r="R242" s="104"/>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04"/>
      <c r="R243" s="104"/>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04"/>
      <c r="R244" s="104"/>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04"/>
      <c r="R245" s="104"/>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04"/>
      <c r="R246" s="104"/>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04"/>
      <c r="R247" s="104"/>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04"/>
      <c r="R248" s="104"/>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04"/>
      <c r="R249" s="104"/>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04"/>
      <c r="R250" s="104"/>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04"/>
      <c r="R251" s="104"/>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04"/>
      <c r="R252" s="104"/>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04"/>
      <c r="R253" s="104"/>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04"/>
      <c r="R254" s="104"/>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04"/>
      <c r="R255" s="104"/>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04"/>
      <c r="R256" s="104"/>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04"/>
      <c r="R257" s="104"/>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04"/>
      <c r="R258" s="104"/>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04"/>
      <c r="R259" s="104"/>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04"/>
      <c r="R260" s="104"/>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04"/>
      <c r="R261" s="104"/>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04"/>
      <c r="R262" s="104"/>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04"/>
      <c r="R263" s="104"/>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04"/>
      <c r="R264" s="104"/>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04"/>
      <c r="R265" s="104"/>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04"/>
      <c r="R266" s="104"/>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04"/>
      <c r="R267" s="104"/>
      <c r="S267" s="1"/>
      <c r="T267" s="1"/>
      <c r="U267" s="1"/>
      <c r="V267" s="1"/>
      <c r="W267" s="1"/>
      <c r="X267" s="1"/>
      <c r="Y267" s="1"/>
    </row>
    <row r="268" spans="1:25">
      <c r="P268" s="1"/>
      <c r="Q268" s="104"/>
      <c r="R268" s="104"/>
      <c r="S268" s="1"/>
      <c r="T268" s="1"/>
      <c r="U268" s="1"/>
      <c r="V268" s="1"/>
      <c r="W268" s="1"/>
      <c r="X268" s="1"/>
      <c r="Y268" s="1"/>
    </row>
    <row r="269" spans="1:25">
      <c r="P269" s="1"/>
      <c r="Q269" s="104"/>
      <c r="R269" s="104"/>
      <c r="S269" s="1"/>
      <c r="T269" s="1"/>
      <c r="U269" s="1"/>
      <c r="V269" s="1"/>
      <c r="W269" s="1"/>
      <c r="X269" s="1"/>
      <c r="Y269" s="1"/>
    </row>
    <row r="270" spans="1:25">
      <c r="P270" s="1"/>
      <c r="Q270" s="104"/>
      <c r="R270" s="104"/>
      <c r="S270" s="1"/>
      <c r="T270" s="1"/>
      <c r="U270" s="1"/>
      <c r="V270" s="1"/>
      <c r="W270" s="1"/>
      <c r="X270" s="1"/>
      <c r="Y270" s="1"/>
    </row>
    <row r="271" spans="1:25">
      <c r="P271" s="1"/>
      <c r="Q271" s="104"/>
      <c r="R271" s="104"/>
      <c r="S271" s="1"/>
      <c r="T271" s="1"/>
      <c r="U271" s="1"/>
      <c r="V271" s="1"/>
      <c r="W271" s="1"/>
      <c r="X271" s="1"/>
      <c r="Y271" s="1"/>
    </row>
    <row r="272" spans="1:25">
      <c r="P272" s="1"/>
      <c r="Q272" s="104"/>
      <c r="R272" s="104"/>
      <c r="S272" s="1"/>
      <c r="T272" s="1"/>
      <c r="U272" s="1"/>
      <c r="V272" s="1"/>
      <c r="W272" s="1"/>
      <c r="X272" s="1"/>
      <c r="Y272" s="1"/>
    </row>
    <row r="273" spans="16:25">
      <c r="P273" s="1"/>
      <c r="Q273" s="104"/>
      <c r="R273" s="104"/>
      <c r="S273" s="1"/>
      <c r="T273" s="1"/>
      <c r="U273" s="1"/>
      <c r="V273" s="1"/>
      <c r="W273" s="1"/>
      <c r="X273" s="1"/>
      <c r="Y273" s="1"/>
    </row>
    <row r="274" spans="16:25">
      <c r="P274" s="1"/>
      <c r="Q274" s="104"/>
      <c r="R274" s="104"/>
      <c r="S274" s="1"/>
      <c r="T274" s="1"/>
      <c r="U274" s="1"/>
      <c r="V274" s="1"/>
      <c r="W274" s="1"/>
      <c r="X274" s="1"/>
      <c r="Y274" s="1"/>
    </row>
    <row r="275" spans="16:25">
      <c r="P275" s="1"/>
      <c r="Q275" s="104"/>
      <c r="R275" s="104"/>
      <c r="S275" s="1"/>
      <c r="T275" s="1"/>
      <c r="U275" s="1"/>
      <c r="V275" s="1"/>
      <c r="W275" s="1"/>
      <c r="X275" s="1"/>
      <c r="Y275" s="1"/>
    </row>
    <row r="276" spans="16:25">
      <c r="P276" s="1"/>
      <c r="Q276" s="104"/>
      <c r="R276" s="104"/>
      <c r="S276" s="1"/>
      <c r="T276" s="1"/>
      <c r="U276" s="1"/>
      <c r="V276" s="1"/>
      <c r="W276" s="1"/>
      <c r="X276" s="1"/>
      <c r="Y276" s="1"/>
    </row>
    <row r="277" spans="16:25">
      <c r="P277" s="1"/>
      <c r="Q277" s="104"/>
      <c r="R277" s="104"/>
      <c r="S277" s="1"/>
      <c r="T277" s="1"/>
      <c r="U277" s="1"/>
      <c r="V277" s="1"/>
      <c r="W277" s="1"/>
      <c r="X277" s="1"/>
      <c r="Y277" s="1"/>
    </row>
    <row r="278" spans="16:25">
      <c r="P278" s="1"/>
      <c r="Q278" s="104"/>
      <c r="R278" s="104"/>
      <c r="S278" s="1"/>
      <c r="T278" s="1"/>
      <c r="U278" s="1"/>
      <c r="V278" s="1"/>
      <c r="W278" s="1"/>
      <c r="X278" s="1"/>
      <c r="Y278" s="1"/>
    </row>
    <row r="279" spans="16:25">
      <c r="P279" s="1"/>
      <c r="Q279" s="104"/>
      <c r="R279" s="104"/>
      <c r="S279" s="1"/>
      <c r="T279" s="1"/>
      <c r="U279" s="1"/>
      <c r="V279" s="1"/>
      <c r="W279" s="1"/>
      <c r="X279" s="1"/>
      <c r="Y279" s="1"/>
    </row>
    <row r="280" spans="16:25">
      <c r="P280" s="1"/>
      <c r="Q280" s="104"/>
      <c r="R280" s="104"/>
      <c r="S280" s="1"/>
      <c r="T280" s="1"/>
      <c r="U280" s="1"/>
      <c r="V280" s="1"/>
      <c r="W280" s="1"/>
      <c r="X280" s="1"/>
      <c r="Y280" s="1"/>
    </row>
    <row r="281" spans="16:25">
      <c r="P281" s="1"/>
      <c r="Q281" s="104"/>
      <c r="R281" s="104"/>
      <c r="S281" s="1"/>
      <c r="T281" s="1"/>
      <c r="U281" s="1"/>
      <c r="V281" s="1"/>
      <c r="W281" s="1"/>
      <c r="X281" s="1"/>
      <c r="Y281" s="1"/>
    </row>
    <row r="282" spans="16:25">
      <c r="P282" s="1"/>
      <c r="Q282" s="104"/>
      <c r="R282" s="104"/>
      <c r="S282" s="1"/>
      <c r="T282" s="1"/>
      <c r="U282" s="1"/>
      <c r="V282" s="1"/>
      <c r="W282" s="1"/>
      <c r="X282" s="1"/>
      <c r="Y282" s="1"/>
    </row>
    <row r="283" spans="16:25">
      <c r="P283" s="1"/>
      <c r="Q283" s="104"/>
      <c r="R283" s="104"/>
      <c r="S283" s="1"/>
      <c r="T283" s="1"/>
      <c r="U283" s="1"/>
      <c r="V283" s="1"/>
      <c r="W283" s="1"/>
      <c r="X283" s="1"/>
      <c r="Y283" s="1"/>
    </row>
    <row r="284" spans="16:25">
      <c r="P284" s="1"/>
      <c r="Q284" s="104"/>
      <c r="R284" s="104"/>
      <c r="S284" s="1"/>
      <c r="T284" s="1"/>
      <c r="U284" s="1"/>
      <c r="V284" s="1"/>
      <c r="W284" s="1"/>
      <c r="X284" s="1"/>
      <c r="Y284" s="1"/>
    </row>
    <row r="285" spans="16:25">
      <c r="P285" s="1"/>
      <c r="Q285" s="104"/>
      <c r="R285" s="104"/>
      <c r="S285" s="1"/>
      <c r="T285" s="1"/>
      <c r="U285" s="1"/>
      <c r="V285" s="1"/>
      <c r="W285" s="1"/>
      <c r="X285" s="1"/>
      <c r="Y285" s="1"/>
    </row>
    <row r="286" spans="16:25">
      <c r="P286" s="1"/>
      <c r="Q286" s="104"/>
      <c r="R286" s="104"/>
      <c r="S286" s="1"/>
      <c r="T286" s="1"/>
      <c r="U286" s="1"/>
      <c r="V286" s="1"/>
      <c r="W286" s="1"/>
      <c r="X286" s="1"/>
      <c r="Y286" s="1"/>
    </row>
    <row r="287" spans="16:25">
      <c r="P287" s="1"/>
      <c r="Q287" s="104"/>
      <c r="R287" s="104"/>
      <c r="S287" s="1"/>
      <c r="T287" s="1"/>
      <c r="U287" s="1"/>
      <c r="V287" s="1"/>
      <c r="W287" s="1"/>
      <c r="X287" s="1"/>
      <c r="Y287" s="1"/>
    </row>
    <row r="288" spans="16:25">
      <c r="P288" s="1"/>
      <c r="Q288" s="104"/>
      <c r="R288" s="104"/>
      <c r="S288" s="1"/>
      <c r="T288" s="1"/>
      <c r="U288" s="1"/>
      <c r="V288" s="1"/>
      <c r="W288" s="1"/>
      <c r="X288" s="1"/>
      <c r="Y288" s="1"/>
    </row>
    <row r="289" spans="16:25">
      <c r="P289" s="1"/>
      <c r="Q289" s="104"/>
      <c r="R289" s="104"/>
      <c r="S289" s="1"/>
      <c r="T289" s="1"/>
      <c r="U289" s="1"/>
      <c r="V289" s="1"/>
      <c r="W289" s="1"/>
      <c r="X289" s="1"/>
      <c r="Y289" s="1"/>
    </row>
    <row r="290" spans="16:25">
      <c r="P290" s="1"/>
      <c r="Q290" s="104"/>
      <c r="R290" s="104"/>
      <c r="S290" s="1"/>
      <c r="T290" s="1"/>
      <c r="U290" s="1"/>
      <c r="V290" s="1"/>
      <c r="W290" s="1"/>
      <c r="X290" s="1"/>
      <c r="Y290" s="1"/>
    </row>
    <row r="291" spans="16:25">
      <c r="P291" s="1"/>
      <c r="Q291" s="104"/>
      <c r="R291" s="104"/>
      <c r="S291" s="1"/>
      <c r="T291" s="1"/>
      <c r="U291" s="1"/>
      <c r="V291" s="1"/>
      <c r="W291" s="1"/>
      <c r="X291" s="1"/>
      <c r="Y291" s="1"/>
    </row>
    <row r="292" spans="16:25">
      <c r="P292" s="1"/>
      <c r="Q292" s="104"/>
      <c r="R292" s="104"/>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zoomScale="70" zoomScaleNormal="70" workbookViewId="0">
      <selection activeCell="G13" sqref="G13"/>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19" t="s">
        <v>917</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918</v>
      </c>
      <c r="B4" s="2" t="s">
        <v>919</v>
      </c>
      <c r="C4" s="2" t="s">
        <v>920</v>
      </c>
      <c r="D4" s="2" t="s">
        <v>921</v>
      </c>
      <c r="E4" s="6" t="s">
        <v>922</v>
      </c>
      <c r="F4" s="2" t="s">
        <v>923</v>
      </c>
      <c r="G4" s="2" t="s">
        <v>924</v>
      </c>
      <c r="H4" s="6" t="s">
        <v>925</v>
      </c>
      <c r="I4" s="6" t="s">
        <v>926</v>
      </c>
      <c r="J4" s="2" t="s">
        <v>927</v>
      </c>
      <c r="K4" s="2" t="s">
        <v>928</v>
      </c>
      <c r="L4" s="2" t="s">
        <v>929</v>
      </c>
      <c r="M4" s="2" t="s">
        <v>236</v>
      </c>
      <c r="N4" s="2" t="s">
        <v>930</v>
      </c>
      <c r="O4" s="1"/>
      <c r="P4" s="1"/>
      <c r="Q4" s="1"/>
      <c r="R4" s="1"/>
      <c r="S4" s="1"/>
      <c r="T4" s="1"/>
      <c r="U4" s="1"/>
      <c r="V4" s="1"/>
      <c r="W4" s="1"/>
      <c r="X4" s="1"/>
      <c r="Y4" s="1"/>
      <c r="Z4" s="1"/>
    </row>
    <row r="5" spans="1:26" ht="30" customHeight="1">
      <c r="A5" s="3" t="s">
        <v>931</v>
      </c>
      <c r="B5" s="5" t="s">
        <v>932</v>
      </c>
      <c r="C5" s="3" t="s">
        <v>933</v>
      </c>
      <c r="D5" s="3" t="s">
        <v>934</v>
      </c>
      <c r="E5" s="3" t="s">
        <v>44</v>
      </c>
      <c r="F5" s="3" t="s">
        <v>44</v>
      </c>
      <c r="G5" s="3" t="s">
        <v>45</v>
      </c>
      <c r="H5" s="3" t="s">
        <v>935</v>
      </c>
      <c r="I5" s="3" t="s">
        <v>936</v>
      </c>
      <c r="J5" s="3" t="s">
        <v>937</v>
      </c>
      <c r="K5" s="3" t="s">
        <v>77</v>
      </c>
      <c r="L5" s="4">
        <v>46230</v>
      </c>
      <c r="M5" s="3" t="s">
        <v>938</v>
      </c>
      <c r="N5" s="3" t="s">
        <v>939</v>
      </c>
      <c r="O5" s="1"/>
      <c r="P5" s="1"/>
      <c r="Q5" s="1"/>
      <c r="R5" s="1"/>
      <c r="S5" s="1"/>
      <c r="T5" s="1"/>
      <c r="U5" s="1"/>
      <c r="V5" s="1"/>
      <c r="W5" s="1"/>
      <c r="X5" s="1"/>
      <c r="Y5" s="1"/>
      <c r="Z5" s="1"/>
    </row>
    <row r="6" spans="1:26" ht="33.6" customHeight="1">
      <c r="A6" s="3" t="s">
        <v>940</v>
      </c>
      <c r="B6" s="3" t="s">
        <v>941</v>
      </c>
      <c r="C6" s="5" t="s">
        <v>942</v>
      </c>
      <c r="D6" s="3" t="s">
        <v>943</v>
      </c>
      <c r="E6" s="3" t="s">
        <v>44</v>
      </c>
      <c r="F6" s="3" t="s">
        <v>44</v>
      </c>
      <c r="G6" s="3" t="s">
        <v>45</v>
      </c>
      <c r="H6" s="3" t="s">
        <v>944</v>
      </c>
      <c r="I6" s="3" t="s">
        <v>945</v>
      </c>
      <c r="J6" s="3" t="s">
        <v>946</v>
      </c>
      <c r="K6" s="3" t="s">
        <v>947</v>
      </c>
      <c r="L6" s="4">
        <v>46252</v>
      </c>
      <c r="M6" s="3" t="s">
        <v>938</v>
      </c>
      <c r="N6" s="3" t="s">
        <v>948</v>
      </c>
      <c r="O6" s="1"/>
      <c r="P6" s="1"/>
      <c r="Q6" s="1"/>
      <c r="R6" s="1"/>
      <c r="S6" s="1"/>
      <c r="T6" s="1"/>
      <c r="U6" s="1"/>
      <c r="V6" s="1"/>
      <c r="W6" s="1"/>
      <c r="X6" s="1"/>
      <c r="Y6" s="1"/>
      <c r="Z6" s="1"/>
    </row>
    <row r="7" spans="1:26" ht="51" customHeight="1">
      <c r="A7" s="3" t="s">
        <v>949</v>
      </c>
      <c r="B7" s="87" t="s">
        <v>950</v>
      </c>
      <c r="C7" s="3" t="s">
        <v>951</v>
      </c>
      <c r="D7" s="3" t="s">
        <v>952</v>
      </c>
      <c r="E7" s="3" t="s">
        <v>101</v>
      </c>
      <c r="F7" s="3" t="s">
        <v>44</v>
      </c>
      <c r="G7" s="3" t="s">
        <v>44</v>
      </c>
      <c r="H7" s="3" t="s">
        <v>953</v>
      </c>
      <c r="I7" s="5" t="s">
        <v>954</v>
      </c>
      <c r="J7" s="3" t="s">
        <v>955</v>
      </c>
      <c r="K7" s="3" t="s">
        <v>245</v>
      </c>
      <c r="L7" s="4">
        <v>46265</v>
      </c>
      <c r="M7" s="3" t="s">
        <v>938</v>
      </c>
      <c r="N7" s="3" t="s">
        <v>956</v>
      </c>
      <c r="O7" s="1"/>
      <c r="P7" s="1"/>
      <c r="Q7" s="1"/>
      <c r="R7" s="1"/>
      <c r="S7" s="1"/>
      <c r="T7" s="1"/>
      <c r="U7" s="1"/>
      <c r="V7" s="1"/>
      <c r="W7" s="1"/>
      <c r="X7" s="1"/>
      <c r="Y7" s="1"/>
      <c r="Z7" s="1"/>
    </row>
    <row r="8" spans="1:26" ht="30" hidden="1" customHeight="1">
      <c r="A8" s="3" t="s">
        <v>957</v>
      </c>
      <c r="B8" s="3" t="s">
        <v>958</v>
      </c>
      <c r="C8" s="3" t="s">
        <v>959</v>
      </c>
      <c r="D8" s="3" t="s">
        <v>960</v>
      </c>
      <c r="E8" s="3" t="s">
        <v>101</v>
      </c>
      <c r="F8" s="3" t="s">
        <v>101</v>
      </c>
      <c r="G8" s="3" t="s">
        <v>101</v>
      </c>
      <c r="H8" s="3" t="s">
        <v>961</v>
      </c>
      <c r="I8" s="3" t="s">
        <v>962</v>
      </c>
      <c r="J8" s="3" t="s">
        <v>963</v>
      </c>
      <c r="K8" s="3" t="s">
        <v>246</v>
      </c>
      <c r="L8" s="4">
        <v>46219</v>
      </c>
      <c r="M8" s="3" t="s">
        <v>938</v>
      </c>
      <c r="N8" s="3" t="s">
        <v>964</v>
      </c>
      <c r="O8" s="1"/>
      <c r="P8" s="1"/>
      <c r="Q8" s="1"/>
      <c r="R8" s="1"/>
      <c r="S8" s="1"/>
      <c r="T8" s="1"/>
      <c r="U8" s="1"/>
      <c r="V8" s="1"/>
      <c r="W8" s="1"/>
      <c r="X8" s="1"/>
      <c r="Y8" s="1"/>
      <c r="Z8" s="1"/>
    </row>
    <row r="9" spans="1:26" ht="30" customHeight="1">
      <c r="A9" s="3" t="s">
        <v>965</v>
      </c>
      <c r="B9" s="5" t="s">
        <v>966</v>
      </c>
      <c r="C9" s="3" t="s">
        <v>97</v>
      </c>
      <c r="D9" s="3" t="s">
        <v>967</v>
      </c>
      <c r="E9" s="3" t="s">
        <v>101</v>
      </c>
      <c r="F9" s="3" t="s">
        <v>44</v>
      </c>
      <c r="G9" s="3" t="s">
        <v>44</v>
      </c>
      <c r="H9" s="3" t="s">
        <v>968</v>
      </c>
      <c r="I9" s="3" t="s">
        <v>969</v>
      </c>
      <c r="J9" s="3" t="s">
        <v>970</v>
      </c>
      <c r="K9" s="3" t="s">
        <v>971</v>
      </c>
      <c r="L9" s="4">
        <v>46246</v>
      </c>
      <c r="M9" s="3" t="s">
        <v>938</v>
      </c>
      <c r="N9" s="3" t="s">
        <v>972</v>
      </c>
      <c r="O9" s="1"/>
      <c r="P9" s="1"/>
      <c r="Q9" s="1"/>
      <c r="R9" s="1"/>
      <c r="S9" s="1"/>
      <c r="T9" s="1"/>
      <c r="U9" s="1"/>
      <c r="V9" s="1"/>
      <c r="W9" s="1"/>
      <c r="X9" s="1"/>
      <c r="Y9" s="1"/>
      <c r="Z9" s="1"/>
    </row>
    <row r="10" spans="1:26" ht="30" hidden="1" customHeight="1">
      <c r="A10" s="3" t="s">
        <v>973</v>
      </c>
      <c r="B10" s="3" t="s">
        <v>974</v>
      </c>
      <c r="C10" s="3" t="s">
        <v>975</v>
      </c>
      <c r="D10" s="3" t="s">
        <v>976</v>
      </c>
      <c r="E10" s="3" t="s">
        <v>101</v>
      </c>
      <c r="F10" s="3" t="s">
        <v>44</v>
      </c>
      <c r="G10" s="3" t="s">
        <v>101</v>
      </c>
      <c r="H10" s="3" t="s">
        <v>977</v>
      </c>
      <c r="I10" s="3" t="s">
        <v>969</v>
      </c>
      <c r="J10" s="3" t="s">
        <v>970</v>
      </c>
      <c r="K10" s="3" t="s">
        <v>246</v>
      </c>
      <c r="L10" s="4">
        <v>46223</v>
      </c>
      <c r="M10" s="3" t="s">
        <v>938</v>
      </c>
      <c r="N10" s="3" t="s">
        <v>978</v>
      </c>
      <c r="O10" s="1"/>
      <c r="P10" s="1"/>
      <c r="Q10" s="1"/>
      <c r="R10" s="1"/>
      <c r="S10" s="1"/>
      <c r="T10" s="1"/>
      <c r="U10" s="1"/>
      <c r="V10" s="1"/>
      <c r="W10" s="1"/>
      <c r="X10" s="1"/>
      <c r="Y10" s="1"/>
      <c r="Z10" s="1"/>
    </row>
    <row r="11" spans="1:26" ht="30" customHeight="1">
      <c r="A11" s="5" t="s">
        <v>973</v>
      </c>
      <c r="B11" s="103" t="s">
        <v>979</v>
      </c>
      <c r="C11" s="5" t="s">
        <v>980</v>
      </c>
      <c r="D11" s="3"/>
      <c r="E11" s="3" t="s">
        <v>101</v>
      </c>
      <c r="F11" s="3" t="s">
        <v>101</v>
      </c>
      <c r="G11" s="3" t="s">
        <v>101</v>
      </c>
      <c r="H11" s="3"/>
      <c r="I11" s="5" t="s">
        <v>981</v>
      </c>
      <c r="J11" s="3" t="s">
        <v>982</v>
      </c>
      <c r="K11" s="3"/>
      <c r="L11" s="4"/>
      <c r="M11" s="3"/>
      <c r="N11" s="3"/>
      <c r="O11" s="1"/>
      <c r="P11" s="1"/>
      <c r="Q11" s="1"/>
      <c r="R11" s="1"/>
      <c r="S11" s="1"/>
      <c r="T11" s="1"/>
      <c r="U11" s="1"/>
      <c r="V11" s="1"/>
      <c r="W11" s="1"/>
      <c r="X11" s="1"/>
      <c r="Y11" s="1"/>
      <c r="Z11" s="1"/>
    </row>
    <row r="12" spans="1:26" ht="30" customHeight="1">
      <c r="A12" s="5" t="s">
        <v>983</v>
      </c>
      <c r="B12" s="3" t="s">
        <v>984</v>
      </c>
      <c r="C12" s="3" t="s">
        <v>985</v>
      </c>
      <c r="D12" s="3" t="s">
        <v>986</v>
      </c>
      <c r="E12" s="3" t="s">
        <v>44</v>
      </c>
      <c r="F12" s="3" t="s">
        <v>101</v>
      </c>
      <c r="G12" s="3" t="s">
        <v>101</v>
      </c>
      <c r="H12" s="3" t="s">
        <v>987</v>
      </c>
      <c r="I12" s="3" t="s">
        <v>988</v>
      </c>
      <c r="J12" s="3" t="s">
        <v>989</v>
      </c>
      <c r="K12" s="3" t="s">
        <v>246</v>
      </c>
      <c r="L12" s="4">
        <v>46227</v>
      </c>
      <c r="M12" s="3" t="s">
        <v>938</v>
      </c>
      <c r="N12" s="3" t="s">
        <v>990</v>
      </c>
      <c r="O12" s="1"/>
      <c r="P12" s="1"/>
      <c r="Q12" s="1"/>
      <c r="R12" s="1"/>
      <c r="S12" s="1"/>
      <c r="T12" s="1"/>
      <c r="U12" s="1"/>
      <c r="V12" s="1"/>
      <c r="W12" s="1"/>
      <c r="X12" s="1"/>
      <c r="Y12" s="1"/>
      <c r="Z12" s="1"/>
    </row>
    <row r="13" spans="1:26" ht="38.25">
      <c r="A13" s="5" t="s">
        <v>991</v>
      </c>
      <c r="B13" s="3" t="s">
        <v>992</v>
      </c>
      <c r="C13" s="3" t="s">
        <v>148</v>
      </c>
      <c r="D13" s="3" t="s">
        <v>993</v>
      </c>
      <c r="E13" s="3" t="s">
        <v>44</v>
      </c>
      <c r="F13" s="3" t="s">
        <v>44</v>
      </c>
      <c r="G13" s="3" t="s">
        <v>45</v>
      </c>
      <c r="H13" s="3" t="s">
        <v>994</v>
      </c>
      <c r="I13" s="3" t="s">
        <v>995</v>
      </c>
      <c r="J13" s="3" t="s">
        <v>996</v>
      </c>
      <c r="K13" s="3"/>
      <c r="L13" s="4"/>
      <c r="M13" s="3" t="s">
        <v>938</v>
      </c>
      <c r="N13" s="3" t="s">
        <v>997</v>
      </c>
      <c r="O13" s="107"/>
      <c r="P13" s="106"/>
      <c r="Q13" s="106"/>
      <c r="R13" s="107"/>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0" type="noConversion"/>
  <conditionalFormatting sqref="G5:G13">
    <cfRule type="expression" dxfId="52" priority="1">
      <formula>G5="Critical"</formula>
    </cfRule>
    <cfRule type="expression" dxfId="51" priority="2">
      <formula>G5="High"</formula>
    </cfRule>
    <cfRule type="expression" dxfId="50" priority="3">
      <formula>G5="Medium"</formula>
    </cfRule>
  </conditionalFormatting>
  <conditionalFormatting sqref="M5:M13">
    <cfRule type="expression" dxfId="49" priority="4">
      <formula>ISNUMBER(SEARCH("Delayed",M5))</formula>
    </cfRule>
    <cfRule type="expression" dxfId="48" priority="5">
      <formula>ISNUMBER(SEARCH("Escalated",M5))</formula>
    </cfRule>
    <cfRule type="expression" dxfId="47" priority="6">
      <formula>ISNUMBER(SEARCH("Completed",M5))</formula>
    </cfRule>
    <cfRule type="expression" dxfId="46" priority="7">
      <formula>ISNUMBER(SEARCH("Closed",M5))</formula>
    </cfRule>
    <cfRule type="expression" dxfId="45"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22"/>
  <sheetViews>
    <sheetView tabSelected="1" topLeftCell="A113" zoomScale="70" zoomScaleNormal="70" workbookViewId="0">
      <selection activeCell="I127" sqref="I127"/>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17" t="s">
        <v>998</v>
      </c>
      <c r="B1" s="218" t="s">
        <v>999</v>
      </c>
      <c r="C1" s="218" t="s">
        <v>1000</v>
      </c>
      <c r="D1" s="218" t="s">
        <v>1001</v>
      </c>
      <c r="E1" s="218" t="s">
        <v>1002</v>
      </c>
      <c r="F1" s="218" t="s">
        <v>1003</v>
      </c>
      <c r="G1" s="218" t="s">
        <v>1004</v>
      </c>
      <c r="H1" s="218" t="s">
        <v>1005</v>
      </c>
      <c r="I1" s="218" t="s">
        <v>1006</v>
      </c>
      <c r="J1" s="218" t="s">
        <v>800</v>
      </c>
    </row>
    <row r="2" spans="1:10" ht="71.25">
      <c r="A2" s="215" t="s">
        <v>1007</v>
      </c>
      <c r="B2" s="9">
        <v>1</v>
      </c>
      <c r="C2" s="8" t="s">
        <v>1008</v>
      </c>
      <c r="D2" s="59" t="s">
        <v>1009</v>
      </c>
      <c r="E2" s="101">
        <v>46226</v>
      </c>
      <c r="F2" s="8"/>
      <c r="G2" s="8" t="s">
        <v>1010</v>
      </c>
      <c r="H2" s="8" t="s">
        <v>1011</v>
      </c>
      <c r="I2" t="s">
        <v>1012</v>
      </c>
    </row>
    <row r="3" spans="1:10" ht="71.25">
      <c r="A3" s="215" t="s">
        <v>1007</v>
      </c>
      <c r="B3" s="9">
        <v>2</v>
      </c>
      <c r="C3" s="8" t="s">
        <v>1013</v>
      </c>
      <c r="D3" s="59" t="s">
        <v>1014</v>
      </c>
      <c r="E3" s="101">
        <v>46226</v>
      </c>
      <c r="F3" s="8"/>
      <c r="G3" s="8" t="s">
        <v>1015</v>
      </c>
      <c r="H3" s="8" t="s">
        <v>1016</v>
      </c>
      <c r="I3" t="s">
        <v>1012</v>
      </c>
    </row>
    <row r="4" spans="1:10" ht="71.25">
      <c r="A4" s="215" t="s">
        <v>1007</v>
      </c>
      <c r="B4" s="9">
        <v>3</v>
      </c>
      <c r="C4" s="8" t="s">
        <v>1017</v>
      </c>
      <c r="D4" s="59" t="s">
        <v>1018</v>
      </c>
      <c r="E4" s="101">
        <v>46226</v>
      </c>
      <c r="F4" s="8"/>
      <c r="G4" s="8" t="s">
        <v>1019</v>
      </c>
      <c r="H4" s="8" t="s">
        <v>1020</v>
      </c>
      <c r="I4" t="s">
        <v>1012</v>
      </c>
    </row>
    <row r="5" spans="1:10" ht="71.25">
      <c r="A5" s="215" t="s">
        <v>1007</v>
      </c>
      <c r="B5" s="9">
        <v>4</v>
      </c>
      <c r="C5" s="8" t="s">
        <v>1021</v>
      </c>
      <c r="D5" s="59" t="s">
        <v>1022</v>
      </c>
      <c r="E5" s="101">
        <v>46226</v>
      </c>
      <c r="F5" s="8"/>
      <c r="G5" s="8" t="s">
        <v>1023</v>
      </c>
      <c r="H5" s="8" t="s">
        <v>1024</v>
      </c>
      <c r="I5" t="s">
        <v>1906</v>
      </c>
    </row>
    <row r="6" spans="1:10" ht="85.5">
      <c r="A6" s="215" t="s">
        <v>1007</v>
      </c>
      <c r="B6" s="9">
        <v>5</v>
      </c>
      <c r="C6" s="8" t="s">
        <v>1025</v>
      </c>
      <c r="D6" s="59" t="s">
        <v>1026</v>
      </c>
      <c r="E6" s="101">
        <v>46226</v>
      </c>
      <c r="F6" s="8"/>
      <c r="G6" s="8" t="s">
        <v>1027</v>
      </c>
      <c r="H6" s="8" t="s">
        <v>1028</v>
      </c>
      <c r="I6" t="s">
        <v>1012</v>
      </c>
    </row>
    <row r="7" spans="1:10" ht="71.25">
      <c r="A7" s="215" t="s">
        <v>1007</v>
      </c>
      <c r="B7" s="9">
        <v>6</v>
      </c>
      <c r="C7" s="8" t="s">
        <v>1029</v>
      </c>
      <c r="D7" s="59" t="s">
        <v>1030</v>
      </c>
      <c r="E7" s="101">
        <v>46226</v>
      </c>
      <c r="F7" s="8"/>
      <c r="G7" s="8" t="s">
        <v>1031</v>
      </c>
      <c r="H7" s="8" t="s">
        <v>1032</v>
      </c>
      <c r="I7" t="s">
        <v>1012</v>
      </c>
    </row>
    <row r="8" spans="1:10" ht="85.5">
      <c r="A8" s="215" t="s">
        <v>1007</v>
      </c>
      <c r="B8" s="9">
        <v>7</v>
      </c>
      <c r="C8" s="8" t="s">
        <v>1033</v>
      </c>
      <c r="D8" s="59" t="s">
        <v>1034</v>
      </c>
      <c r="E8" s="101">
        <v>46226</v>
      </c>
      <c r="F8" s="8"/>
      <c r="G8" s="8" t="s">
        <v>1035</v>
      </c>
      <c r="H8" s="8" t="s">
        <v>1036</v>
      </c>
      <c r="I8" t="s">
        <v>1012</v>
      </c>
    </row>
    <row r="9" spans="1:10" ht="57">
      <c r="A9" s="215" t="s">
        <v>1007</v>
      </c>
      <c r="B9" s="9">
        <v>8</v>
      </c>
      <c r="C9" s="8" t="s">
        <v>1037</v>
      </c>
      <c r="D9" s="59" t="s">
        <v>1038</v>
      </c>
      <c r="E9" s="101">
        <v>46226</v>
      </c>
      <c r="F9" s="8"/>
      <c r="G9" s="8" t="s">
        <v>1039</v>
      </c>
      <c r="H9" s="8" t="s">
        <v>1040</v>
      </c>
      <c r="I9" t="s">
        <v>1012</v>
      </c>
    </row>
    <row r="10" spans="1:10" ht="42.75">
      <c r="A10" s="215" t="s">
        <v>1007</v>
      </c>
      <c r="B10" s="9">
        <v>9</v>
      </c>
      <c r="C10" s="8" t="s">
        <v>1041</v>
      </c>
      <c r="D10" s="59" t="s">
        <v>1038</v>
      </c>
      <c r="E10" s="101">
        <v>46226</v>
      </c>
      <c r="F10" s="8"/>
      <c r="G10" s="8" t="s">
        <v>1042</v>
      </c>
      <c r="H10" s="8" t="s">
        <v>1043</v>
      </c>
      <c r="I10" t="s">
        <v>1012</v>
      </c>
    </row>
    <row r="11" spans="1:10" ht="57">
      <c r="A11" s="215" t="s">
        <v>1007</v>
      </c>
      <c r="B11" s="9">
        <v>10</v>
      </c>
      <c r="C11" s="8" t="s">
        <v>1044</v>
      </c>
      <c r="D11" s="59" t="s">
        <v>1045</v>
      </c>
      <c r="E11" s="101">
        <v>46226</v>
      </c>
      <c r="F11" s="8"/>
      <c r="G11" s="8" t="s">
        <v>1046</v>
      </c>
      <c r="H11" s="8" t="s">
        <v>1047</v>
      </c>
      <c r="I11" t="s">
        <v>1012</v>
      </c>
    </row>
    <row r="12" spans="1:10" ht="71.25">
      <c r="A12" s="215" t="s">
        <v>1007</v>
      </c>
      <c r="B12" s="9">
        <v>11</v>
      </c>
      <c r="C12" s="8" t="s">
        <v>1048</v>
      </c>
      <c r="D12" s="59" t="s">
        <v>1049</v>
      </c>
      <c r="E12" s="101">
        <v>46226</v>
      </c>
      <c r="F12" s="8"/>
      <c r="G12" s="8" t="s">
        <v>1050</v>
      </c>
      <c r="H12" s="8" t="s">
        <v>1051</v>
      </c>
      <c r="I12" t="s">
        <v>1012</v>
      </c>
    </row>
    <row r="13" spans="1:10" ht="71.25">
      <c r="A13" s="215" t="s">
        <v>1007</v>
      </c>
      <c r="B13" s="9">
        <v>12</v>
      </c>
      <c r="C13" s="8" t="s">
        <v>1052</v>
      </c>
      <c r="D13" s="59" t="s">
        <v>1053</v>
      </c>
      <c r="E13" s="101">
        <v>46226</v>
      </c>
      <c r="F13" s="8"/>
      <c r="G13" s="8" t="s">
        <v>1054</v>
      </c>
      <c r="H13" s="8" t="s">
        <v>1055</v>
      </c>
      <c r="I13" t="s">
        <v>1012</v>
      </c>
    </row>
    <row r="14" spans="1:10" ht="71.25">
      <c r="A14" s="215" t="s">
        <v>1007</v>
      </c>
      <c r="B14" s="9">
        <v>13</v>
      </c>
      <c r="C14" s="8" t="s">
        <v>1056</v>
      </c>
      <c r="D14" s="59" t="s">
        <v>1057</v>
      </c>
      <c r="E14" s="101">
        <v>46226</v>
      </c>
      <c r="F14" s="8"/>
      <c r="G14" s="8" t="s">
        <v>1058</v>
      </c>
      <c r="H14" s="8" t="s">
        <v>1059</v>
      </c>
      <c r="I14" t="s">
        <v>1012</v>
      </c>
    </row>
    <row r="15" spans="1:10" ht="71.25">
      <c r="A15" s="215" t="s">
        <v>1007</v>
      </c>
      <c r="B15" s="9">
        <v>14</v>
      </c>
      <c r="C15" s="8" t="s">
        <v>1060</v>
      </c>
      <c r="D15" s="59" t="s">
        <v>1061</v>
      </c>
      <c r="E15" s="101">
        <v>46226</v>
      </c>
      <c r="F15" s="8"/>
      <c r="G15" s="8" t="s">
        <v>1062</v>
      </c>
      <c r="H15" s="8" t="s">
        <v>1063</v>
      </c>
      <c r="I15" t="s">
        <v>1906</v>
      </c>
    </row>
    <row r="16" spans="1:10" ht="71.25">
      <c r="A16" s="215" t="s">
        <v>1007</v>
      </c>
      <c r="B16" s="9">
        <v>15</v>
      </c>
      <c r="C16" s="8" t="s">
        <v>1064</v>
      </c>
      <c r="D16" s="59" t="s">
        <v>1065</v>
      </c>
      <c r="E16" s="101">
        <v>46226</v>
      </c>
      <c r="F16" s="8"/>
      <c r="G16" s="8" t="s">
        <v>1066</v>
      </c>
      <c r="H16" s="8" t="s">
        <v>1067</v>
      </c>
      <c r="I16" t="s">
        <v>1012</v>
      </c>
    </row>
    <row r="17" spans="1:10" ht="57">
      <c r="A17" s="215" t="s">
        <v>1007</v>
      </c>
      <c r="B17" s="9">
        <v>16</v>
      </c>
      <c r="C17" s="8" t="s">
        <v>1068</v>
      </c>
      <c r="D17" s="59" t="s">
        <v>1069</v>
      </c>
      <c r="E17" s="101">
        <v>46226</v>
      </c>
      <c r="F17" s="8"/>
      <c r="G17" s="8" t="s">
        <v>1070</v>
      </c>
      <c r="H17" s="8" t="s">
        <v>1071</v>
      </c>
      <c r="I17" t="s">
        <v>1906</v>
      </c>
    </row>
    <row r="18" spans="1:10" ht="71.25">
      <c r="A18" s="215" t="s">
        <v>1007</v>
      </c>
      <c r="B18" s="9">
        <v>17</v>
      </c>
      <c r="C18" s="8" t="s">
        <v>1072</v>
      </c>
      <c r="D18" s="59" t="s">
        <v>1073</v>
      </c>
      <c r="E18" s="101">
        <v>46226</v>
      </c>
      <c r="F18" s="8"/>
      <c r="G18" s="8" t="s">
        <v>1074</v>
      </c>
      <c r="H18" s="8" t="s">
        <v>1075</v>
      </c>
      <c r="I18" t="s">
        <v>1906</v>
      </c>
    </row>
    <row r="19" spans="1:10" ht="71.25">
      <c r="A19" s="215" t="s">
        <v>1007</v>
      </c>
      <c r="B19" s="9">
        <v>18</v>
      </c>
      <c r="C19" s="8" t="s">
        <v>1076</v>
      </c>
      <c r="D19" s="59" t="s">
        <v>1077</v>
      </c>
      <c r="E19" s="101">
        <v>46226</v>
      </c>
      <c r="F19" s="8"/>
      <c r="G19" s="8" t="s">
        <v>1078</v>
      </c>
      <c r="H19" s="8" t="s">
        <v>1079</v>
      </c>
      <c r="I19" t="s">
        <v>1906</v>
      </c>
    </row>
    <row r="20" spans="1:10" ht="71.25">
      <c r="A20" s="215" t="s">
        <v>1007</v>
      </c>
      <c r="B20" s="9">
        <v>19</v>
      </c>
      <c r="C20" s="8" t="s">
        <v>1080</v>
      </c>
      <c r="D20" s="59" t="s">
        <v>1081</v>
      </c>
      <c r="E20" s="101">
        <v>46226</v>
      </c>
      <c r="F20" s="8"/>
      <c r="G20" s="8" t="s">
        <v>1082</v>
      </c>
      <c r="H20" s="8" t="s">
        <v>1083</v>
      </c>
      <c r="I20" t="s">
        <v>1906</v>
      </c>
    </row>
    <row r="21" spans="1:10" ht="71.25">
      <c r="A21" s="215" t="s">
        <v>1007</v>
      </c>
      <c r="B21" s="9">
        <v>20</v>
      </c>
      <c r="C21" s="8" t="s">
        <v>1084</v>
      </c>
      <c r="D21" s="59" t="s">
        <v>1085</v>
      </c>
      <c r="E21" s="101">
        <v>46226</v>
      </c>
      <c r="F21" s="8"/>
      <c r="G21" s="8" t="s">
        <v>1086</v>
      </c>
      <c r="H21" s="8" t="s">
        <v>1087</v>
      </c>
      <c r="I21" t="s">
        <v>1906</v>
      </c>
    </row>
    <row r="22" spans="1:10" ht="85.5">
      <c r="A22" s="215" t="s">
        <v>1007</v>
      </c>
      <c r="B22" s="9">
        <v>21</v>
      </c>
      <c r="C22" s="8" t="s">
        <v>1088</v>
      </c>
      <c r="D22" s="59" t="s">
        <v>1089</v>
      </c>
      <c r="E22" s="101">
        <v>46226</v>
      </c>
      <c r="F22" s="8"/>
      <c r="G22" s="8" t="s">
        <v>1090</v>
      </c>
      <c r="H22" s="8" t="s">
        <v>1091</v>
      </c>
      <c r="I22" t="s">
        <v>1906</v>
      </c>
    </row>
    <row r="23" spans="1:10" ht="71.25">
      <c r="A23" s="215" t="s">
        <v>1007</v>
      </c>
      <c r="B23" s="9">
        <v>22</v>
      </c>
      <c r="C23" s="8" t="s">
        <v>1092</v>
      </c>
      <c r="D23" s="59" t="s">
        <v>1093</v>
      </c>
      <c r="E23" s="101">
        <v>46226</v>
      </c>
      <c r="F23" s="8"/>
      <c r="G23" s="8" t="s">
        <v>1094</v>
      </c>
      <c r="H23" s="8" t="s">
        <v>1095</v>
      </c>
      <c r="I23" t="s">
        <v>1012</v>
      </c>
    </row>
    <row r="24" spans="1:10" ht="71.25">
      <c r="A24" s="215" t="s">
        <v>1007</v>
      </c>
      <c r="B24" s="9">
        <v>23</v>
      </c>
      <c r="C24" s="8" t="s">
        <v>1096</v>
      </c>
      <c r="D24" s="59" t="s">
        <v>1097</v>
      </c>
      <c r="E24" s="101">
        <v>46226</v>
      </c>
      <c r="F24" s="8"/>
      <c r="G24" s="8" t="s">
        <v>1098</v>
      </c>
      <c r="H24" s="8" t="s">
        <v>1099</v>
      </c>
      <c r="I24" t="s">
        <v>1906</v>
      </c>
    </row>
    <row r="25" spans="1:10" ht="71.25">
      <c r="A25" s="215" t="s">
        <v>1007</v>
      </c>
      <c r="B25" s="9">
        <v>24</v>
      </c>
      <c r="C25" s="8" t="s">
        <v>1100</v>
      </c>
      <c r="D25" s="59" t="s">
        <v>1101</v>
      </c>
      <c r="E25" s="101">
        <v>46226</v>
      </c>
      <c r="F25" s="8"/>
      <c r="G25" s="8" t="s">
        <v>1102</v>
      </c>
      <c r="H25" s="8" t="s">
        <v>1103</v>
      </c>
      <c r="I25" t="s">
        <v>1906</v>
      </c>
    </row>
    <row r="26" spans="1:10" ht="71.25">
      <c r="A26" s="215" t="s">
        <v>1007</v>
      </c>
      <c r="B26" s="9">
        <v>25</v>
      </c>
      <c r="C26" s="8" t="s">
        <v>1104</v>
      </c>
      <c r="D26" s="59" t="s">
        <v>1105</v>
      </c>
      <c r="E26" s="101">
        <v>46226</v>
      </c>
      <c r="F26" s="8"/>
      <c r="G26" s="8" t="s">
        <v>1106</v>
      </c>
      <c r="H26" s="8" t="s">
        <v>1107</v>
      </c>
      <c r="I26" t="s">
        <v>1906</v>
      </c>
    </row>
    <row r="27" spans="1:10" ht="57">
      <c r="A27" s="215" t="s">
        <v>1007</v>
      </c>
      <c r="B27" s="9">
        <v>26</v>
      </c>
      <c r="C27" s="8" t="s">
        <v>1108</v>
      </c>
      <c r="D27" s="59" t="s">
        <v>1109</v>
      </c>
      <c r="E27" s="101">
        <v>46226</v>
      </c>
      <c r="F27" s="8"/>
      <c r="G27" s="8" t="s">
        <v>1110</v>
      </c>
      <c r="H27" s="8" t="s">
        <v>1111</v>
      </c>
      <c r="I27" t="s">
        <v>1012</v>
      </c>
    </row>
    <row r="28" spans="1:10">
      <c r="A28" s="216"/>
      <c r="B28" s="10"/>
      <c r="C28" s="11"/>
      <c r="D28" s="11"/>
      <c r="E28" s="11"/>
      <c r="F28" s="11"/>
      <c r="G28" s="11"/>
      <c r="H28" s="11"/>
    </row>
    <row r="29" spans="1:10" ht="42.75">
      <c r="A29" s="215" t="s">
        <v>97</v>
      </c>
      <c r="B29" s="9">
        <v>1</v>
      </c>
      <c r="C29" s="8" t="s">
        <v>1112</v>
      </c>
      <c r="D29" s="59" t="s">
        <v>1113</v>
      </c>
      <c r="E29" s="8"/>
      <c r="F29" s="8"/>
      <c r="G29" s="8" t="s">
        <v>1114</v>
      </c>
      <c r="H29" s="8" t="s">
        <v>1115</v>
      </c>
      <c r="I29" t="s">
        <v>1012</v>
      </c>
      <c r="J29" s="17" t="s">
        <v>1116</v>
      </c>
    </row>
    <row r="30" spans="1:10" ht="28.5">
      <c r="A30" s="215" t="s">
        <v>97</v>
      </c>
      <c r="B30" s="9">
        <v>2</v>
      </c>
      <c r="C30" s="8" t="s">
        <v>1117</v>
      </c>
      <c r="D30" s="59" t="s">
        <v>1113</v>
      </c>
      <c r="E30" s="8"/>
      <c r="F30" s="8"/>
      <c r="G30" s="8" t="s">
        <v>1118</v>
      </c>
      <c r="H30" s="8" t="s">
        <v>1119</v>
      </c>
      <c r="I30" t="s">
        <v>1012</v>
      </c>
      <c r="J30" s="17" t="s">
        <v>1116</v>
      </c>
    </row>
    <row r="31" spans="1:10" ht="42.75">
      <c r="A31" s="215" t="s">
        <v>97</v>
      </c>
      <c r="B31" s="9">
        <v>3</v>
      </c>
      <c r="C31" s="8" t="s">
        <v>1120</v>
      </c>
      <c r="D31" s="59" t="s">
        <v>1113</v>
      </c>
      <c r="E31" s="8"/>
      <c r="F31" s="8"/>
      <c r="G31" s="8" t="s">
        <v>1121</v>
      </c>
      <c r="H31" s="8" t="s">
        <v>1122</v>
      </c>
      <c r="I31" t="s">
        <v>1012</v>
      </c>
      <c r="J31" s="17" t="s">
        <v>1116</v>
      </c>
    </row>
    <row r="32" spans="1:10" ht="28.5">
      <c r="A32" s="215" t="s">
        <v>97</v>
      </c>
      <c r="B32" s="9">
        <v>4</v>
      </c>
      <c r="C32" s="8" t="s">
        <v>1123</v>
      </c>
      <c r="D32" s="59" t="s">
        <v>1113</v>
      </c>
      <c r="E32" s="8"/>
      <c r="F32" s="8"/>
      <c r="G32" s="8" t="s">
        <v>1124</v>
      </c>
      <c r="H32" s="8" t="s">
        <v>1125</v>
      </c>
      <c r="I32" t="s">
        <v>1906</v>
      </c>
      <c r="J32" s="17" t="s">
        <v>1116</v>
      </c>
    </row>
    <row r="33" spans="1:10" ht="42.75">
      <c r="A33" s="215" t="s">
        <v>97</v>
      </c>
      <c r="B33" s="9">
        <v>5</v>
      </c>
      <c r="C33" s="8" t="s">
        <v>1126</v>
      </c>
      <c r="D33" s="59" t="s">
        <v>1113</v>
      </c>
      <c r="E33" s="8"/>
      <c r="F33" s="8"/>
      <c r="G33" s="8" t="s">
        <v>1127</v>
      </c>
      <c r="H33" s="8" t="s">
        <v>1128</v>
      </c>
      <c r="I33" t="s">
        <v>1012</v>
      </c>
      <c r="J33" s="17" t="s">
        <v>1116</v>
      </c>
    </row>
    <row r="34" spans="1:10" ht="42.75">
      <c r="A34" s="215" t="s">
        <v>97</v>
      </c>
      <c r="B34" s="9">
        <v>6</v>
      </c>
      <c r="C34" s="8" t="s">
        <v>1129</v>
      </c>
      <c r="D34" s="59" t="s">
        <v>1113</v>
      </c>
      <c r="E34" s="8"/>
      <c r="F34" s="8"/>
      <c r="G34" s="8" t="s">
        <v>1130</v>
      </c>
      <c r="H34" s="8" t="s">
        <v>1131</v>
      </c>
      <c r="I34" t="s">
        <v>1906</v>
      </c>
      <c r="J34" s="17" t="s">
        <v>1116</v>
      </c>
    </row>
    <row r="35" spans="1:10" ht="171">
      <c r="A35" s="215" t="s">
        <v>97</v>
      </c>
      <c r="B35" s="9">
        <v>8</v>
      </c>
      <c r="C35" s="8" t="s">
        <v>1132</v>
      </c>
      <c r="D35" s="59" t="s">
        <v>1133</v>
      </c>
      <c r="E35" s="8"/>
      <c r="F35" s="8"/>
      <c r="G35" s="8" t="s">
        <v>1134</v>
      </c>
      <c r="H35" s="8" t="s">
        <v>1135</v>
      </c>
      <c r="I35" t="s">
        <v>1906</v>
      </c>
      <c r="J35" s="17" t="s">
        <v>1116</v>
      </c>
    </row>
    <row r="36" spans="1:10" ht="57">
      <c r="A36" s="215" t="s">
        <v>97</v>
      </c>
      <c r="B36" s="9">
        <v>9</v>
      </c>
      <c r="C36" s="8" t="s">
        <v>1136</v>
      </c>
      <c r="D36" s="59" t="s">
        <v>1113</v>
      </c>
      <c r="E36" s="8"/>
      <c r="F36" s="8"/>
      <c r="G36" s="8" t="s">
        <v>1137</v>
      </c>
      <c r="H36" s="8" t="s">
        <v>1138</v>
      </c>
      <c r="I36" t="s">
        <v>1906</v>
      </c>
      <c r="J36" s="17" t="s">
        <v>1116</v>
      </c>
    </row>
    <row r="37" spans="1:10" ht="42.75">
      <c r="A37" s="215" t="s">
        <v>97</v>
      </c>
      <c r="B37" s="9">
        <v>10</v>
      </c>
      <c r="C37" s="8" t="s">
        <v>1139</v>
      </c>
      <c r="D37" s="59" t="s">
        <v>1113</v>
      </c>
      <c r="E37" s="8"/>
      <c r="F37" s="8"/>
      <c r="G37" s="8" t="s">
        <v>1140</v>
      </c>
      <c r="H37" s="8" t="s">
        <v>1141</v>
      </c>
      <c r="I37" t="s">
        <v>1906</v>
      </c>
      <c r="J37" s="17" t="s">
        <v>1116</v>
      </c>
    </row>
    <row r="38" spans="1:10" ht="85.5">
      <c r="A38" s="215" t="s">
        <v>97</v>
      </c>
      <c r="B38" s="9">
        <v>11</v>
      </c>
      <c r="C38" s="8" t="s">
        <v>1142</v>
      </c>
      <c r="D38" s="59" t="s">
        <v>1143</v>
      </c>
      <c r="E38" s="8"/>
      <c r="F38" s="8"/>
      <c r="G38" s="8" t="s">
        <v>1144</v>
      </c>
      <c r="H38" s="8" t="s">
        <v>1145</v>
      </c>
      <c r="I38" t="s">
        <v>1012</v>
      </c>
      <c r="J38" s="17" t="s">
        <v>1116</v>
      </c>
    </row>
    <row r="39" spans="1:10" ht="71.25">
      <c r="A39" s="215" t="s">
        <v>97</v>
      </c>
      <c r="B39" s="9">
        <v>12</v>
      </c>
      <c r="C39" s="8" t="s">
        <v>1146</v>
      </c>
      <c r="D39" s="59" t="s">
        <v>1143</v>
      </c>
      <c r="E39" s="8"/>
      <c r="F39" s="8"/>
      <c r="G39" s="8"/>
      <c r="H39" s="8"/>
      <c r="I39" t="s">
        <v>1012</v>
      </c>
      <c r="J39" s="17" t="s">
        <v>1116</v>
      </c>
    </row>
    <row r="40" spans="1:10" ht="57">
      <c r="A40" s="215" t="s">
        <v>97</v>
      </c>
      <c r="B40" s="9">
        <v>13</v>
      </c>
      <c r="C40" s="8" t="s">
        <v>1147</v>
      </c>
      <c r="D40" s="59" t="s">
        <v>1113</v>
      </c>
      <c r="E40" s="8"/>
      <c r="F40" s="8"/>
      <c r="G40" s="8"/>
      <c r="H40" s="8"/>
      <c r="I40" t="s">
        <v>1012</v>
      </c>
      <c r="J40" s="17" t="s">
        <v>1116</v>
      </c>
    </row>
    <row r="41" spans="1:10" ht="42.75">
      <c r="A41" s="215" t="s">
        <v>97</v>
      </c>
      <c r="B41" s="9">
        <v>14</v>
      </c>
      <c r="C41" s="8" t="s">
        <v>1148</v>
      </c>
      <c r="D41" s="59" t="s">
        <v>1113</v>
      </c>
      <c r="E41" s="8"/>
      <c r="F41" s="8"/>
      <c r="G41" s="8"/>
      <c r="H41" s="8"/>
      <c r="I41" t="s">
        <v>1906</v>
      </c>
      <c r="J41" s="17" t="s">
        <v>1116</v>
      </c>
    </row>
    <row r="42" spans="1:10" ht="128.25">
      <c r="A42" s="215" t="s">
        <v>97</v>
      </c>
      <c r="B42" s="9">
        <v>15</v>
      </c>
      <c r="C42" s="8" t="s">
        <v>1149</v>
      </c>
      <c r="D42" s="59" t="s">
        <v>1150</v>
      </c>
      <c r="E42" s="8"/>
      <c r="F42" s="8"/>
      <c r="G42" s="8"/>
      <c r="H42" s="8"/>
      <c r="I42" t="s">
        <v>1012</v>
      </c>
      <c r="J42" s="17" t="s">
        <v>1116</v>
      </c>
    </row>
    <row r="43" spans="1:10" ht="70.5" customHeight="1">
      <c r="A43" s="215" t="s">
        <v>97</v>
      </c>
      <c r="B43" s="9">
        <v>16</v>
      </c>
      <c r="C43" s="8" t="s">
        <v>1151</v>
      </c>
      <c r="D43" s="59" t="s">
        <v>1113</v>
      </c>
      <c r="E43" s="8"/>
      <c r="F43" s="8"/>
      <c r="G43" s="8"/>
      <c r="H43" s="8"/>
      <c r="I43" t="s">
        <v>1012</v>
      </c>
      <c r="J43" s="17" t="s">
        <v>1116</v>
      </c>
    </row>
    <row r="44" spans="1:10">
      <c r="A44" s="216"/>
      <c r="B44" s="10"/>
      <c r="C44" s="11"/>
      <c r="D44" s="58"/>
      <c r="E44" s="11"/>
      <c r="F44" s="11"/>
      <c r="G44" s="11"/>
      <c r="H44" s="11"/>
    </row>
    <row r="45" spans="1:10" ht="42.75">
      <c r="A45" s="215" t="s">
        <v>351</v>
      </c>
      <c r="B45" s="9">
        <v>1</v>
      </c>
      <c r="C45" s="8" t="s">
        <v>1152</v>
      </c>
      <c r="D45" s="59" t="s">
        <v>1113</v>
      </c>
      <c r="E45" s="8"/>
      <c r="F45" s="8"/>
      <c r="G45" s="8" t="s">
        <v>1153</v>
      </c>
      <c r="H45" s="8" t="s">
        <v>1154</v>
      </c>
      <c r="I45" t="s">
        <v>1012</v>
      </c>
    </row>
    <row r="46" spans="1:10" ht="42.75">
      <c r="A46" s="215" t="s">
        <v>351</v>
      </c>
      <c r="B46" s="9">
        <v>2</v>
      </c>
      <c r="C46" s="8" t="s">
        <v>1155</v>
      </c>
      <c r="D46" s="59" t="s">
        <v>1113</v>
      </c>
      <c r="E46" s="8"/>
      <c r="F46" s="8"/>
      <c r="G46" s="8" t="s">
        <v>1156</v>
      </c>
      <c r="H46" s="8" t="s">
        <v>1157</v>
      </c>
      <c r="I46" t="s">
        <v>1012</v>
      </c>
    </row>
    <row r="47" spans="1:10" ht="42.75">
      <c r="A47" s="215" t="s">
        <v>351</v>
      </c>
      <c r="B47" s="9">
        <v>3</v>
      </c>
      <c r="C47" s="8" t="s">
        <v>1158</v>
      </c>
      <c r="D47" s="59" t="s">
        <v>1113</v>
      </c>
      <c r="E47" s="8"/>
      <c r="F47" s="8"/>
      <c r="G47" s="8" t="s">
        <v>1159</v>
      </c>
      <c r="H47" s="8" t="s">
        <v>1160</v>
      </c>
      <c r="I47" t="s">
        <v>1012</v>
      </c>
    </row>
    <row r="48" spans="1:10" ht="42.75">
      <c r="A48" s="215" t="s">
        <v>351</v>
      </c>
      <c r="B48" s="9">
        <v>4</v>
      </c>
      <c r="C48" s="8" t="s">
        <v>1161</v>
      </c>
      <c r="D48" s="59" t="s">
        <v>1113</v>
      </c>
      <c r="E48" s="8"/>
      <c r="F48" s="8"/>
      <c r="G48" s="8" t="s">
        <v>1162</v>
      </c>
      <c r="H48" s="8" t="s">
        <v>1163</v>
      </c>
      <c r="I48" t="s">
        <v>1012</v>
      </c>
    </row>
    <row r="49" spans="1:9" ht="42.75">
      <c r="A49" s="215" t="s">
        <v>351</v>
      </c>
      <c r="B49" s="9">
        <v>5</v>
      </c>
      <c r="C49" s="8" t="s">
        <v>1164</v>
      </c>
      <c r="D49" s="59" t="s">
        <v>1113</v>
      </c>
      <c r="E49" s="8"/>
      <c r="F49" s="8"/>
      <c r="G49" s="8" t="s">
        <v>1165</v>
      </c>
      <c r="H49" s="8" t="s">
        <v>1166</v>
      </c>
      <c r="I49" t="s">
        <v>1012</v>
      </c>
    </row>
    <row r="50" spans="1:9" ht="28.5">
      <c r="A50" s="215" t="s">
        <v>351</v>
      </c>
      <c r="B50" s="9">
        <v>6</v>
      </c>
      <c r="C50" s="8" t="s">
        <v>1167</v>
      </c>
      <c r="D50" s="59" t="s">
        <v>1113</v>
      </c>
      <c r="E50" s="8"/>
      <c r="F50" s="8"/>
      <c r="G50" s="8" t="s">
        <v>1168</v>
      </c>
      <c r="H50" s="8" t="s">
        <v>1169</v>
      </c>
      <c r="I50" t="s">
        <v>1012</v>
      </c>
    </row>
    <row r="51" spans="1:9" ht="42.75">
      <c r="A51" s="215" t="s">
        <v>351</v>
      </c>
      <c r="B51" s="9">
        <v>7</v>
      </c>
      <c r="C51" s="8" t="s">
        <v>1170</v>
      </c>
      <c r="D51" s="59" t="s">
        <v>1113</v>
      </c>
      <c r="E51" s="8"/>
      <c r="F51" s="8"/>
      <c r="G51" s="8" t="s">
        <v>1171</v>
      </c>
      <c r="H51" s="8" t="s">
        <v>1172</v>
      </c>
      <c r="I51" t="s">
        <v>1012</v>
      </c>
    </row>
    <row r="52" spans="1:9" ht="42.75">
      <c r="A52" s="215" t="s">
        <v>351</v>
      </c>
      <c r="B52" s="9">
        <v>8</v>
      </c>
      <c r="C52" s="8" t="s">
        <v>1173</v>
      </c>
      <c r="D52" s="59" t="s">
        <v>1113</v>
      </c>
      <c r="E52" s="8"/>
      <c r="F52" s="8"/>
      <c r="G52" s="8" t="s">
        <v>1174</v>
      </c>
      <c r="H52" s="8" t="s">
        <v>1175</v>
      </c>
      <c r="I52" t="s">
        <v>1906</v>
      </c>
    </row>
    <row r="53" spans="1:9" ht="42.75">
      <c r="A53" s="215" t="s">
        <v>351</v>
      </c>
      <c r="B53" s="9">
        <v>9</v>
      </c>
      <c r="C53" s="8" t="s">
        <v>1176</v>
      </c>
      <c r="D53" s="59" t="s">
        <v>1113</v>
      </c>
      <c r="E53" s="8"/>
      <c r="F53" s="8"/>
      <c r="G53" s="8" t="s">
        <v>1177</v>
      </c>
      <c r="H53" s="8" t="s">
        <v>1178</v>
      </c>
      <c r="I53" t="s">
        <v>1012</v>
      </c>
    </row>
    <row r="54" spans="1:9" ht="42.75">
      <c r="A54" s="215" t="s">
        <v>351</v>
      </c>
      <c r="B54" s="9">
        <v>10</v>
      </c>
      <c r="C54" s="8" t="s">
        <v>1179</v>
      </c>
      <c r="D54" s="59" t="s">
        <v>1113</v>
      </c>
      <c r="E54" s="8"/>
      <c r="F54" s="8"/>
      <c r="G54" s="8" t="s">
        <v>1180</v>
      </c>
      <c r="H54" s="8" t="s">
        <v>1181</v>
      </c>
      <c r="I54" t="s">
        <v>1012</v>
      </c>
    </row>
    <row r="55" spans="1:9" ht="42.75">
      <c r="A55" s="215" t="s">
        <v>351</v>
      </c>
      <c r="B55" s="9">
        <v>11</v>
      </c>
      <c r="C55" s="8" t="s">
        <v>1182</v>
      </c>
      <c r="D55" s="59" t="s">
        <v>1113</v>
      </c>
      <c r="E55" s="8"/>
      <c r="F55" s="8"/>
      <c r="G55" s="8" t="s">
        <v>1183</v>
      </c>
      <c r="H55" s="8" t="s">
        <v>1184</v>
      </c>
      <c r="I55" t="s">
        <v>1012</v>
      </c>
    </row>
    <row r="56" spans="1:9" ht="57">
      <c r="A56" s="215" t="s">
        <v>351</v>
      </c>
      <c r="B56" s="9">
        <v>12</v>
      </c>
      <c r="C56" s="8" t="s">
        <v>1185</v>
      </c>
      <c r="D56" s="59" t="s">
        <v>1113</v>
      </c>
      <c r="E56" s="8"/>
      <c r="F56" s="8"/>
      <c r="G56" s="8" t="s">
        <v>1186</v>
      </c>
      <c r="H56" s="8" t="s">
        <v>1187</v>
      </c>
      <c r="I56" t="s">
        <v>1906</v>
      </c>
    </row>
    <row r="57" spans="1:9" ht="57">
      <c r="A57" s="215" t="s">
        <v>351</v>
      </c>
      <c r="B57" s="9">
        <v>13</v>
      </c>
      <c r="C57" s="8" t="s">
        <v>1188</v>
      </c>
      <c r="D57" s="59" t="s">
        <v>1113</v>
      </c>
      <c r="E57" s="8"/>
      <c r="F57" s="8"/>
      <c r="G57" s="8" t="s">
        <v>1189</v>
      </c>
      <c r="H57" s="8" t="s">
        <v>1190</v>
      </c>
      <c r="I57" t="s">
        <v>1012</v>
      </c>
    </row>
    <row r="58" spans="1:9" ht="28.5">
      <c r="A58" s="215" t="s">
        <v>351</v>
      </c>
      <c r="B58" s="9">
        <v>14</v>
      </c>
      <c r="C58" s="8" t="s">
        <v>1191</v>
      </c>
      <c r="D58" s="59" t="s">
        <v>1113</v>
      </c>
      <c r="E58" s="8"/>
      <c r="F58" s="8"/>
      <c r="G58" s="8" t="s">
        <v>1192</v>
      </c>
      <c r="H58" s="8" t="s">
        <v>1193</v>
      </c>
      <c r="I58" t="s">
        <v>1012</v>
      </c>
    </row>
    <row r="59" spans="1:9" ht="28.5">
      <c r="A59" s="215" t="s">
        <v>351</v>
      </c>
      <c r="B59" s="9">
        <v>15</v>
      </c>
      <c r="C59" s="8" t="s">
        <v>1194</v>
      </c>
      <c r="D59" s="59" t="s">
        <v>1113</v>
      </c>
      <c r="E59" s="8"/>
      <c r="F59" s="8"/>
      <c r="G59" s="8" t="s">
        <v>1195</v>
      </c>
      <c r="H59" s="8" t="s">
        <v>1196</v>
      </c>
      <c r="I59" t="s">
        <v>1012</v>
      </c>
    </row>
    <row r="60" spans="1:9" ht="42.75">
      <c r="A60" s="215" t="s">
        <v>351</v>
      </c>
      <c r="B60" s="9">
        <v>16</v>
      </c>
      <c r="C60" s="8" t="s">
        <v>1197</v>
      </c>
      <c r="D60" s="59" t="s">
        <v>1113</v>
      </c>
      <c r="E60" s="8"/>
      <c r="F60" s="8"/>
      <c r="G60" s="8" t="s">
        <v>1198</v>
      </c>
      <c r="H60" s="8" t="s">
        <v>1199</v>
      </c>
      <c r="I60" t="s">
        <v>1906</v>
      </c>
    </row>
    <row r="61" spans="1:9" ht="57">
      <c r="A61" s="215" t="s">
        <v>351</v>
      </c>
      <c r="B61" s="9">
        <v>17</v>
      </c>
      <c r="C61" s="8" t="s">
        <v>1200</v>
      </c>
      <c r="D61" s="59" t="s">
        <v>1113</v>
      </c>
      <c r="E61" s="8"/>
      <c r="F61" s="8"/>
      <c r="G61" s="8" t="s">
        <v>1201</v>
      </c>
      <c r="H61" s="8" t="s">
        <v>1202</v>
      </c>
      <c r="I61" t="s">
        <v>1012</v>
      </c>
    </row>
    <row r="62" spans="1:9" ht="42.75">
      <c r="A62" s="215" t="s">
        <v>351</v>
      </c>
      <c r="B62" s="9">
        <v>18</v>
      </c>
      <c r="C62" s="8" t="s">
        <v>1203</v>
      </c>
      <c r="D62" s="59" t="s">
        <v>1113</v>
      </c>
      <c r="E62" s="8"/>
      <c r="F62" s="8"/>
      <c r="G62" s="8" t="s">
        <v>1204</v>
      </c>
      <c r="H62" s="8" t="s">
        <v>1205</v>
      </c>
      <c r="I62" t="s">
        <v>1012</v>
      </c>
    </row>
    <row r="63" spans="1:9" ht="57">
      <c r="A63" s="215" t="s">
        <v>351</v>
      </c>
      <c r="B63" s="9">
        <v>19</v>
      </c>
      <c r="C63" s="8" t="s">
        <v>1206</v>
      </c>
      <c r="D63" s="59" t="s">
        <v>1113</v>
      </c>
      <c r="E63" s="8"/>
      <c r="F63" s="8"/>
      <c r="G63" s="8" t="s">
        <v>1207</v>
      </c>
      <c r="H63" s="8" t="s">
        <v>1208</v>
      </c>
      <c r="I63" t="s">
        <v>1906</v>
      </c>
    </row>
    <row r="64" spans="1:9" ht="71.25">
      <c r="A64" s="215" t="s">
        <v>351</v>
      </c>
      <c r="B64" s="9">
        <v>20</v>
      </c>
      <c r="C64" s="8" t="s">
        <v>1209</v>
      </c>
      <c r="D64" s="59" t="s">
        <v>1113</v>
      </c>
      <c r="E64" s="8"/>
      <c r="F64" s="8"/>
      <c r="G64" s="8" t="s">
        <v>1210</v>
      </c>
      <c r="H64" s="8" t="s">
        <v>1211</v>
      </c>
      <c r="I64" t="s">
        <v>1012</v>
      </c>
    </row>
    <row r="65" spans="1:10" ht="71.25">
      <c r="A65" s="215" t="s">
        <v>351</v>
      </c>
      <c r="B65" s="9">
        <v>21</v>
      </c>
      <c r="C65" s="8" t="s">
        <v>1212</v>
      </c>
      <c r="D65" s="59" t="s">
        <v>1113</v>
      </c>
      <c r="E65" s="8"/>
      <c r="F65" s="8"/>
      <c r="G65" s="8" t="s">
        <v>1213</v>
      </c>
      <c r="H65" s="8" t="s">
        <v>1214</v>
      </c>
      <c r="I65" t="s">
        <v>1012</v>
      </c>
    </row>
    <row r="66" spans="1:10" ht="71.25">
      <c r="A66" s="215" t="s">
        <v>351</v>
      </c>
      <c r="B66" s="9">
        <v>22</v>
      </c>
      <c r="C66" s="8" t="s">
        <v>1215</v>
      </c>
      <c r="D66" s="59" t="s">
        <v>1113</v>
      </c>
      <c r="E66" s="8"/>
      <c r="F66" s="8"/>
      <c r="G66" s="8" t="s">
        <v>1216</v>
      </c>
      <c r="H66" s="8" t="s">
        <v>1217</v>
      </c>
      <c r="I66" t="s">
        <v>1906</v>
      </c>
    </row>
    <row r="67" spans="1:10">
      <c r="A67" s="216"/>
      <c r="B67" s="10"/>
      <c r="C67" s="11"/>
      <c r="D67" s="11"/>
      <c r="E67" s="11"/>
      <c r="F67" s="11"/>
      <c r="G67" s="11"/>
      <c r="H67" s="11"/>
    </row>
    <row r="68" spans="1:10" ht="42.75">
      <c r="A68" s="215" t="s">
        <v>285</v>
      </c>
      <c r="B68" s="9">
        <v>1</v>
      </c>
      <c r="C68" s="8" t="s">
        <v>1218</v>
      </c>
      <c r="D68" s="59" t="s">
        <v>1113</v>
      </c>
      <c r="E68" s="8"/>
      <c r="F68" s="8"/>
      <c r="G68" s="8" t="s">
        <v>1219</v>
      </c>
      <c r="H68" s="8" t="s">
        <v>1220</v>
      </c>
      <c r="I68" t="s">
        <v>1012</v>
      </c>
      <c r="J68" s="73" t="s">
        <v>1116</v>
      </c>
    </row>
    <row r="69" spans="1:10" ht="57">
      <c r="A69" s="215" t="s">
        <v>285</v>
      </c>
      <c r="B69" s="9">
        <v>2</v>
      </c>
      <c r="C69" s="8" t="s">
        <v>1221</v>
      </c>
      <c r="D69" s="59" t="s">
        <v>1113</v>
      </c>
      <c r="E69" s="8"/>
      <c r="F69" s="8"/>
      <c r="G69" s="8" t="s">
        <v>1222</v>
      </c>
      <c r="H69" s="8" t="s">
        <v>1223</v>
      </c>
      <c r="I69" t="s">
        <v>1012</v>
      </c>
      <c r="J69" s="73" t="s">
        <v>1116</v>
      </c>
    </row>
    <row r="70" spans="1:10" ht="57">
      <c r="A70" s="215" t="s">
        <v>285</v>
      </c>
      <c r="B70" s="9">
        <v>3</v>
      </c>
      <c r="C70" s="8" t="s">
        <v>1224</v>
      </c>
      <c r="D70" s="59" t="s">
        <v>1113</v>
      </c>
      <c r="E70" s="8"/>
      <c r="F70" s="8"/>
      <c r="G70" s="8" t="s">
        <v>1225</v>
      </c>
      <c r="H70" s="8" t="s">
        <v>1226</v>
      </c>
      <c r="I70" t="s">
        <v>1012</v>
      </c>
      <c r="J70" s="73" t="s">
        <v>1116</v>
      </c>
    </row>
    <row r="71" spans="1:10" ht="42.75">
      <c r="A71" s="215" t="s">
        <v>285</v>
      </c>
      <c r="B71" s="9">
        <v>4</v>
      </c>
      <c r="C71" s="8" t="s">
        <v>1227</v>
      </c>
      <c r="D71" s="59" t="s">
        <v>1113</v>
      </c>
      <c r="E71" s="8"/>
      <c r="F71" s="8"/>
      <c r="G71" s="8" t="s">
        <v>1228</v>
      </c>
      <c r="H71" s="8" t="s">
        <v>1229</v>
      </c>
      <c r="I71" t="s">
        <v>1012</v>
      </c>
      <c r="J71" s="73" t="s">
        <v>1116</v>
      </c>
    </row>
    <row r="72" spans="1:10" ht="42.75">
      <c r="A72" s="215" t="s">
        <v>285</v>
      </c>
      <c r="B72" s="9">
        <v>5</v>
      </c>
      <c r="C72" s="8" t="s">
        <v>1230</v>
      </c>
      <c r="D72" s="59" t="s">
        <v>1113</v>
      </c>
      <c r="E72" s="8"/>
      <c r="F72" s="8"/>
      <c r="G72" s="8" t="s">
        <v>1231</v>
      </c>
      <c r="H72" s="8" t="s">
        <v>1232</v>
      </c>
      <c r="I72" t="s">
        <v>1012</v>
      </c>
      <c r="J72" s="73" t="s">
        <v>1116</v>
      </c>
    </row>
    <row r="73" spans="1:10" ht="42.75">
      <c r="A73" s="215" t="s">
        <v>285</v>
      </c>
      <c r="B73" s="9">
        <v>6</v>
      </c>
      <c r="C73" s="8" t="s">
        <v>1233</v>
      </c>
      <c r="D73" s="59" t="s">
        <v>1113</v>
      </c>
      <c r="E73" s="8"/>
      <c r="F73" s="8"/>
      <c r="G73" s="8" t="s">
        <v>1234</v>
      </c>
      <c r="H73" s="8" t="s">
        <v>1235</v>
      </c>
      <c r="I73" t="s">
        <v>1012</v>
      </c>
      <c r="J73" s="73" t="s">
        <v>1116</v>
      </c>
    </row>
    <row r="74" spans="1:10" ht="57">
      <c r="A74" s="215" t="s">
        <v>285</v>
      </c>
      <c r="B74" s="9">
        <v>7</v>
      </c>
      <c r="C74" s="8" t="s">
        <v>1236</v>
      </c>
      <c r="D74" s="59" t="s">
        <v>1113</v>
      </c>
      <c r="E74" s="8"/>
      <c r="F74" s="8"/>
      <c r="G74" s="8" t="s">
        <v>1237</v>
      </c>
      <c r="H74" s="8" t="s">
        <v>1238</v>
      </c>
      <c r="I74" t="s">
        <v>1012</v>
      </c>
      <c r="J74" s="73" t="s">
        <v>1116</v>
      </c>
    </row>
    <row r="75" spans="1:10">
      <c r="A75" s="216"/>
      <c r="B75" s="10"/>
      <c r="C75" s="11"/>
      <c r="D75" s="11"/>
      <c r="E75" s="11"/>
      <c r="F75" s="11"/>
      <c r="G75" s="11"/>
      <c r="H75" s="11"/>
    </row>
    <row r="76" spans="1:10" ht="42.75">
      <c r="A76" s="215" t="s">
        <v>1239</v>
      </c>
      <c r="B76" s="9">
        <v>1</v>
      </c>
      <c r="C76" s="8" t="s">
        <v>1240</v>
      </c>
      <c r="D76" s="12" t="s">
        <v>1241</v>
      </c>
      <c r="E76" s="8"/>
      <c r="F76" s="8"/>
      <c r="G76" s="8" t="s">
        <v>1242</v>
      </c>
      <c r="H76" s="8" t="s">
        <v>1243</v>
      </c>
      <c r="I76" t="s">
        <v>1012</v>
      </c>
    </row>
    <row r="77" spans="1:10" ht="85.5">
      <c r="A77" s="215" t="s">
        <v>1239</v>
      </c>
      <c r="B77" s="9">
        <v>2</v>
      </c>
      <c r="C77" s="8" t="s">
        <v>1244</v>
      </c>
      <c r="D77" s="12" t="s">
        <v>1241</v>
      </c>
      <c r="E77" s="8"/>
      <c r="F77" s="8"/>
      <c r="G77" s="8" t="s">
        <v>1245</v>
      </c>
      <c r="H77" s="8" t="s">
        <v>1246</v>
      </c>
      <c r="I77" t="s">
        <v>1012</v>
      </c>
    </row>
    <row r="78" spans="1:10" ht="71.25">
      <c r="A78" s="215" t="s">
        <v>1239</v>
      </c>
      <c r="B78" s="9">
        <v>3</v>
      </c>
      <c r="C78" s="8" t="s">
        <v>1247</v>
      </c>
      <c r="D78" s="12" t="s">
        <v>1241</v>
      </c>
      <c r="E78" s="8"/>
      <c r="F78" s="8"/>
      <c r="G78" s="8" t="s">
        <v>1248</v>
      </c>
      <c r="H78" s="8" t="s">
        <v>1249</v>
      </c>
      <c r="I78" t="s">
        <v>1906</v>
      </c>
    </row>
    <row r="79" spans="1:10" ht="57">
      <c r="A79" s="215" t="s">
        <v>1239</v>
      </c>
      <c r="B79" s="9">
        <v>4</v>
      </c>
      <c r="C79" s="8" t="s">
        <v>1250</v>
      </c>
      <c r="D79" s="12" t="s">
        <v>1241</v>
      </c>
      <c r="E79" s="8"/>
      <c r="F79" s="8"/>
      <c r="G79" s="8" t="s">
        <v>1251</v>
      </c>
      <c r="H79" s="8" t="s">
        <v>1163</v>
      </c>
      <c r="I79" t="s">
        <v>1012</v>
      </c>
    </row>
    <row r="80" spans="1:10">
      <c r="A80" s="216"/>
      <c r="B80" s="10"/>
      <c r="C80" s="11"/>
      <c r="D80" s="11"/>
      <c r="E80" s="11"/>
      <c r="F80" s="11"/>
      <c r="G80" s="11"/>
      <c r="H80" s="11"/>
    </row>
    <row r="81" spans="1:9" ht="42.75">
      <c r="A81" s="215" t="s">
        <v>136</v>
      </c>
      <c r="B81" s="9">
        <v>1</v>
      </c>
      <c r="C81" s="8" t="s">
        <v>1252</v>
      </c>
      <c r="D81" s="12" t="s">
        <v>1241</v>
      </c>
      <c r="E81" s="8"/>
      <c r="F81" s="8"/>
      <c r="G81" s="8" t="s">
        <v>1253</v>
      </c>
      <c r="H81" s="8" t="s">
        <v>1254</v>
      </c>
      <c r="I81" t="s">
        <v>1012</v>
      </c>
    </row>
    <row r="82" spans="1:9" ht="42.75">
      <c r="A82" s="215" t="s">
        <v>136</v>
      </c>
      <c r="B82" s="9">
        <v>2</v>
      </c>
      <c r="C82" s="8" t="s">
        <v>1255</v>
      </c>
      <c r="D82" s="59" t="s">
        <v>1113</v>
      </c>
      <c r="E82" s="8"/>
      <c r="F82" s="8"/>
      <c r="G82" s="8" t="s">
        <v>1256</v>
      </c>
      <c r="H82" s="8" t="s">
        <v>1257</v>
      </c>
      <c r="I82" t="s">
        <v>1012</v>
      </c>
    </row>
    <row r="83" spans="1:9" ht="61.5" customHeight="1">
      <c r="A83" s="215" t="s">
        <v>136</v>
      </c>
      <c r="B83" s="9">
        <v>3</v>
      </c>
      <c r="C83" s="8" t="s">
        <v>1258</v>
      </c>
      <c r="D83" s="59" t="s">
        <v>1113</v>
      </c>
      <c r="E83" s="8"/>
      <c r="F83" s="8"/>
      <c r="G83" s="8" t="s">
        <v>1259</v>
      </c>
      <c r="H83" s="8" t="s">
        <v>1260</v>
      </c>
      <c r="I83" t="s">
        <v>1906</v>
      </c>
    </row>
    <row r="84" spans="1:9" ht="42.75">
      <c r="A84" s="215" t="s">
        <v>136</v>
      </c>
      <c r="B84" s="9">
        <v>4</v>
      </c>
      <c r="C84" s="8" t="s">
        <v>1261</v>
      </c>
      <c r="D84" s="59" t="s">
        <v>1113</v>
      </c>
      <c r="E84" s="8"/>
      <c r="F84" s="8"/>
      <c r="G84" s="8" t="s">
        <v>1262</v>
      </c>
      <c r="H84" s="8" t="s">
        <v>1263</v>
      </c>
      <c r="I84" t="s">
        <v>1012</v>
      </c>
    </row>
    <row r="85" spans="1:9" ht="42.75">
      <c r="A85" s="215" t="s">
        <v>136</v>
      </c>
      <c r="B85" s="9">
        <v>5</v>
      </c>
      <c r="C85" s="8" t="s">
        <v>1264</v>
      </c>
      <c r="D85" s="59" t="s">
        <v>1113</v>
      </c>
      <c r="E85" s="8"/>
      <c r="F85" s="8"/>
      <c r="G85" s="8" t="s">
        <v>1265</v>
      </c>
      <c r="H85" s="8" t="s">
        <v>1266</v>
      </c>
      <c r="I85" t="s">
        <v>1906</v>
      </c>
    </row>
    <row r="86" spans="1:9" ht="54.6" customHeight="1">
      <c r="A86" s="215" t="s">
        <v>136</v>
      </c>
      <c r="B86" s="9">
        <v>6</v>
      </c>
      <c r="C86" s="8" t="s">
        <v>1267</v>
      </c>
      <c r="D86" s="59" t="s">
        <v>1113</v>
      </c>
      <c r="E86" s="8"/>
      <c r="F86" s="8"/>
      <c r="G86" s="8" t="s">
        <v>1268</v>
      </c>
      <c r="H86" s="8" t="s">
        <v>1269</v>
      </c>
      <c r="I86" t="s">
        <v>1012</v>
      </c>
    </row>
    <row r="87" spans="1:9" ht="71.25">
      <c r="A87" s="215" t="s">
        <v>136</v>
      </c>
      <c r="B87" s="9">
        <v>7</v>
      </c>
      <c r="C87" s="8" t="s">
        <v>1270</v>
      </c>
      <c r="D87" s="59" t="s">
        <v>1113</v>
      </c>
      <c r="E87" s="8"/>
      <c r="F87" s="8"/>
      <c r="G87" s="8" t="s">
        <v>1271</v>
      </c>
      <c r="H87" s="8" t="s">
        <v>1272</v>
      </c>
      <c r="I87" t="s">
        <v>1012</v>
      </c>
    </row>
    <row r="88" spans="1:9" ht="57">
      <c r="A88" s="215" t="s">
        <v>136</v>
      </c>
      <c r="B88" s="9">
        <v>8</v>
      </c>
      <c r="C88" s="8" t="s">
        <v>1273</v>
      </c>
      <c r="D88" s="59" t="s">
        <v>1113</v>
      </c>
      <c r="E88" s="8"/>
      <c r="F88" s="8"/>
      <c r="G88" s="8" t="s">
        <v>1274</v>
      </c>
      <c r="H88" s="8" t="s">
        <v>1275</v>
      </c>
      <c r="I88" t="s">
        <v>1012</v>
      </c>
    </row>
    <row r="89" spans="1:9" ht="42.75">
      <c r="A89" s="215" t="s">
        <v>136</v>
      </c>
      <c r="B89" s="9">
        <v>9</v>
      </c>
      <c r="C89" s="8" t="s">
        <v>1276</v>
      </c>
      <c r="D89" s="59" t="s">
        <v>1113</v>
      </c>
      <c r="E89" s="8"/>
      <c r="F89" s="8"/>
      <c r="G89" s="8" t="s">
        <v>1277</v>
      </c>
      <c r="H89" s="8" t="s">
        <v>1278</v>
      </c>
      <c r="I89" t="s">
        <v>1012</v>
      </c>
    </row>
    <row r="90" spans="1:9" ht="57">
      <c r="A90" s="215" t="s">
        <v>136</v>
      </c>
      <c r="B90" s="9">
        <v>10</v>
      </c>
      <c r="C90" s="8" t="s">
        <v>1279</v>
      </c>
      <c r="D90" s="59" t="s">
        <v>1113</v>
      </c>
      <c r="E90" s="8"/>
      <c r="F90" s="8"/>
      <c r="G90" s="8" t="s">
        <v>1280</v>
      </c>
      <c r="H90" s="8" t="s">
        <v>1281</v>
      </c>
      <c r="I90" t="s">
        <v>1012</v>
      </c>
    </row>
    <row r="91" spans="1:9" ht="57">
      <c r="A91" s="215" t="s">
        <v>136</v>
      </c>
      <c r="B91" s="9">
        <v>11</v>
      </c>
      <c r="C91" s="8" t="s">
        <v>1282</v>
      </c>
      <c r="D91" s="59" t="s">
        <v>1113</v>
      </c>
      <c r="E91" s="8"/>
      <c r="F91" s="8"/>
      <c r="G91" s="8" t="s">
        <v>1283</v>
      </c>
      <c r="H91" s="8" t="s">
        <v>1284</v>
      </c>
      <c r="I91" t="s">
        <v>1012</v>
      </c>
    </row>
    <row r="92" spans="1:9" ht="57">
      <c r="A92" s="215" t="s">
        <v>136</v>
      </c>
      <c r="B92" s="9">
        <v>12</v>
      </c>
      <c r="C92" s="8" t="s">
        <v>1285</v>
      </c>
      <c r="D92" s="59" t="s">
        <v>1113</v>
      </c>
      <c r="E92" s="8"/>
      <c r="F92" s="8"/>
      <c r="G92" s="8" t="s">
        <v>1286</v>
      </c>
      <c r="H92" s="8" t="s">
        <v>1287</v>
      </c>
      <c r="I92" t="s">
        <v>1012</v>
      </c>
    </row>
    <row r="93" spans="1:9">
      <c r="A93" s="216"/>
      <c r="B93" s="10"/>
      <c r="C93" s="11"/>
      <c r="D93" s="11"/>
      <c r="E93" s="11"/>
      <c r="F93" s="11"/>
      <c r="G93" s="11"/>
      <c r="H93" s="11"/>
    </row>
    <row r="94" spans="1:9" ht="57">
      <c r="A94" s="215" t="s">
        <v>1288</v>
      </c>
      <c r="B94" s="9">
        <v>1</v>
      </c>
      <c r="C94" s="8" t="s">
        <v>1289</v>
      </c>
      <c r="D94" s="12" t="s">
        <v>1241</v>
      </c>
      <c r="E94" s="13">
        <v>46182</v>
      </c>
      <c r="F94" s="8" t="s">
        <v>1290</v>
      </c>
      <c r="G94" s="8"/>
      <c r="H94" s="8"/>
      <c r="I94" t="s">
        <v>1012</v>
      </c>
    </row>
    <row r="95" spans="1:9" ht="85.5">
      <c r="A95" s="215" t="s">
        <v>1288</v>
      </c>
      <c r="B95" s="9">
        <v>2</v>
      </c>
      <c r="C95" s="8" t="s">
        <v>1291</v>
      </c>
      <c r="D95" s="12" t="s">
        <v>1241</v>
      </c>
      <c r="E95" s="13">
        <v>46182</v>
      </c>
      <c r="F95" s="8" t="s">
        <v>1290</v>
      </c>
      <c r="G95" s="8"/>
      <c r="H95" s="8"/>
      <c r="I95" t="s">
        <v>1012</v>
      </c>
    </row>
    <row r="96" spans="1:9" ht="71.25">
      <c r="A96" s="215" t="s">
        <v>1288</v>
      </c>
      <c r="B96" s="9">
        <v>3</v>
      </c>
      <c r="C96" s="8" t="s">
        <v>1292</v>
      </c>
      <c r="D96" s="12" t="s">
        <v>1241</v>
      </c>
      <c r="E96" s="13">
        <v>46182</v>
      </c>
      <c r="F96" s="8" t="s">
        <v>1290</v>
      </c>
      <c r="G96" s="8"/>
      <c r="H96" s="8"/>
      <c r="I96" t="s">
        <v>1012</v>
      </c>
    </row>
    <row r="97" spans="1:9" ht="85.5">
      <c r="A97" s="215" t="s">
        <v>1288</v>
      </c>
      <c r="B97" s="9">
        <v>4</v>
      </c>
      <c r="C97" s="8" t="s">
        <v>1293</v>
      </c>
      <c r="D97" s="12" t="s">
        <v>1241</v>
      </c>
      <c r="E97" s="8"/>
      <c r="F97" s="8"/>
      <c r="G97" s="8"/>
      <c r="H97" s="8"/>
      <c r="I97" t="s">
        <v>1012</v>
      </c>
    </row>
    <row r="98" spans="1:9" ht="71.25">
      <c r="A98" s="215" t="s">
        <v>1288</v>
      </c>
      <c r="B98" s="9">
        <v>5</v>
      </c>
      <c r="C98" s="8" t="s">
        <v>1294</v>
      </c>
      <c r="D98" s="12" t="s">
        <v>1241</v>
      </c>
      <c r="E98" s="8"/>
      <c r="F98" s="8"/>
      <c r="G98" s="8" t="s">
        <v>1295</v>
      </c>
      <c r="H98" s="8" t="s">
        <v>1296</v>
      </c>
      <c r="I98" t="s">
        <v>1012</v>
      </c>
    </row>
    <row r="99" spans="1:9" ht="71.25">
      <c r="A99" s="215" t="s">
        <v>1288</v>
      </c>
      <c r="B99" s="9">
        <v>6</v>
      </c>
      <c r="C99" s="8" t="s">
        <v>1297</v>
      </c>
      <c r="D99" s="12" t="s">
        <v>1241</v>
      </c>
      <c r="E99" s="8"/>
      <c r="F99" s="8"/>
      <c r="G99" s="8" t="s">
        <v>1298</v>
      </c>
      <c r="H99" s="8" t="s">
        <v>1299</v>
      </c>
      <c r="I99" t="s">
        <v>1012</v>
      </c>
    </row>
    <row r="100" spans="1:9" ht="71.25">
      <c r="A100" s="215" t="s">
        <v>1288</v>
      </c>
      <c r="B100" s="9">
        <v>7</v>
      </c>
      <c r="C100" s="8" t="s">
        <v>1300</v>
      </c>
      <c r="D100" s="12" t="s">
        <v>1241</v>
      </c>
      <c r="E100" s="8"/>
      <c r="F100" s="8"/>
      <c r="G100" s="8" t="s">
        <v>1301</v>
      </c>
      <c r="H100" s="8" t="s">
        <v>1302</v>
      </c>
      <c r="I100" t="s">
        <v>1012</v>
      </c>
    </row>
    <row r="101" spans="1:9" ht="85.5">
      <c r="A101" s="215" t="s">
        <v>1288</v>
      </c>
      <c r="B101" s="9">
        <v>8</v>
      </c>
      <c r="C101" s="8" t="s">
        <v>1303</v>
      </c>
      <c r="D101" s="12" t="s">
        <v>1241</v>
      </c>
      <c r="E101" s="8"/>
      <c r="F101" s="8"/>
      <c r="G101" s="8" t="s">
        <v>1304</v>
      </c>
      <c r="H101" s="8" t="s">
        <v>1305</v>
      </c>
      <c r="I101" t="s">
        <v>1012</v>
      </c>
    </row>
    <row r="102" spans="1:9" ht="71.25">
      <c r="A102" s="215" t="s">
        <v>1288</v>
      </c>
      <c r="B102" s="9">
        <v>9</v>
      </c>
      <c r="C102" s="8" t="s">
        <v>1306</v>
      </c>
      <c r="D102" s="12" t="s">
        <v>1241</v>
      </c>
      <c r="E102" s="8"/>
      <c r="F102" s="8"/>
      <c r="G102" s="8" t="s">
        <v>1307</v>
      </c>
      <c r="H102" s="8" t="s">
        <v>1308</v>
      </c>
      <c r="I102" t="s">
        <v>1012</v>
      </c>
    </row>
    <row r="103" spans="1:9" ht="71.25">
      <c r="A103" s="215" t="s">
        <v>1288</v>
      </c>
      <c r="B103" s="9">
        <v>10</v>
      </c>
      <c r="C103" s="8" t="s">
        <v>1309</v>
      </c>
      <c r="D103" s="12" t="s">
        <v>1241</v>
      </c>
      <c r="E103" s="8"/>
      <c r="F103" s="8"/>
      <c r="G103" s="8" t="s">
        <v>1310</v>
      </c>
      <c r="H103" s="8" t="s">
        <v>1311</v>
      </c>
      <c r="I103" t="s">
        <v>1012</v>
      </c>
    </row>
    <row r="104" spans="1:9">
      <c r="A104" s="216"/>
      <c r="B104" s="10"/>
      <c r="C104" s="11"/>
      <c r="D104" s="11"/>
      <c r="E104" s="11"/>
      <c r="F104" s="11"/>
      <c r="G104" s="11"/>
      <c r="H104" s="11"/>
    </row>
    <row r="105" spans="1:9" ht="114">
      <c r="A105" s="215" t="s">
        <v>1312</v>
      </c>
      <c r="B105" s="9">
        <v>1</v>
      </c>
      <c r="C105" s="8" t="s">
        <v>1313</v>
      </c>
      <c r="D105" s="12" t="s">
        <v>1241</v>
      </c>
      <c r="E105" s="13" t="s">
        <v>1314</v>
      </c>
      <c r="F105" s="8" t="s">
        <v>1290</v>
      </c>
      <c r="G105" s="8" t="s">
        <v>1315</v>
      </c>
      <c r="H105" s="8" t="s">
        <v>1316</v>
      </c>
      <c r="I105" t="s">
        <v>1012</v>
      </c>
    </row>
    <row r="106" spans="1:9" ht="114">
      <c r="A106" s="215" t="s">
        <v>1312</v>
      </c>
      <c r="B106" s="9">
        <v>2</v>
      </c>
      <c r="C106" s="8" t="s">
        <v>1317</v>
      </c>
      <c r="D106" s="12" t="s">
        <v>1241</v>
      </c>
      <c r="E106" s="8" t="s">
        <v>1314</v>
      </c>
      <c r="F106" s="8" t="s">
        <v>1290</v>
      </c>
      <c r="G106" s="8" t="s">
        <v>1318</v>
      </c>
      <c r="H106" s="8" t="s">
        <v>1319</v>
      </c>
      <c r="I106" t="s">
        <v>1012</v>
      </c>
    </row>
    <row r="107" spans="1:9" ht="71.25">
      <c r="A107" s="215" t="s">
        <v>1312</v>
      </c>
      <c r="B107" s="9">
        <v>3</v>
      </c>
      <c r="C107" s="8" t="s">
        <v>1320</v>
      </c>
      <c r="D107" s="12" t="s">
        <v>1241</v>
      </c>
      <c r="E107" s="8" t="s">
        <v>1314</v>
      </c>
      <c r="F107" s="8" t="s">
        <v>1290</v>
      </c>
      <c r="G107" s="8" t="s">
        <v>1321</v>
      </c>
      <c r="H107" s="8" t="s">
        <v>1322</v>
      </c>
      <c r="I107" t="s">
        <v>1012</v>
      </c>
    </row>
    <row r="108" spans="1:9" ht="85.5">
      <c r="A108" s="215" t="s">
        <v>1312</v>
      </c>
      <c r="B108" s="9">
        <v>4</v>
      </c>
      <c r="C108" s="8" t="s">
        <v>1323</v>
      </c>
      <c r="D108" s="12" t="s">
        <v>1241</v>
      </c>
      <c r="E108" s="8" t="s">
        <v>1314</v>
      </c>
      <c r="F108" s="8" t="s">
        <v>1290</v>
      </c>
      <c r="G108" s="8" t="s">
        <v>1324</v>
      </c>
      <c r="H108" s="8" t="s">
        <v>1325</v>
      </c>
      <c r="I108" t="s">
        <v>1012</v>
      </c>
    </row>
    <row r="109" spans="1:9" ht="42.75">
      <c r="A109" s="215" t="s">
        <v>1312</v>
      </c>
      <c r="B109" s="9">
        <v>5</v>
      </c>
      <c r="C109" s="8" t="s">
        <v>1326</v>
      </c>
      <c r="D109" s="12" t="s">
        <v>1241</v>
      </c>
      <c r="E109" s="8" t="s">
        <v>1314</v>
      </c>
      <c r="F109" s="8" t="s">
        <v>1290</v>
      </c>
      <c r="G109" s="8" t="s">
        <v>1327</v>
      </c>
      <c r="H109" s="8"/>
      <c r="I109" t="s">
        <v>1012</v>
      </c>
    </row>
    <row r="110" spans="1:9" ht="42.75">
      <c r="A110" s="215" t="s">
        <v>1312</v>
      </c>
      <c r="B110" s="9">
        <v>6</v>
      </c>
      <c r="C110" s="8" t="s">
        <v>1328</v>
      </c>
      <c r="D110" s="12" t="s">
        <v>1241</v>
      </c>
      <c r="E110" s="8" t="s">
        <v>1314</v>
      </c>
      <c r="F110" s="8" t="s">
        <v>1290</v>
      </c>
      <c r="G110" s="8" t="s">
        <v>1329</v>
      </c>
      <c r="H110" s="8" t="s">
        <v>1330</v>
      </c>
      <c r="I110" t="s">
        <v>1012</v>
      </c>
    </row>
    <row r="111" spans="1:9" ht="42.75">
      <c r="A111" s="215" t="s">
        <v>1312</v>
      </c>
      <c r="B111" s="9">
        <v>7</v>
      </c>
      <c r="C111" s="8" t="s">
        <v>1331</v>
      </c>
      <c r="D111" s="12" t="s">
        <v>1241</v>
      </c>
      <c r="E111" s="8" t="s">
        <v>1314</v>
      </c>
      <c r="F111" s="8" t="s">
        <v>1290</v>
      </c>
      <c r="G111" s="8" t="s">
        <v>1332</v>
      </c>
      <c r="H111" s="8" t="s">
        <v>1333</v>
      </c>
      <c r="I111" t="s">
        <v>1012</v>
      </c>
    </row>
    <row r="112" spans="1:9" ht="57">
      <c r="A112" s="215" t="s">
        <v>1312</v>
      </c>
      <c r="B112" s="9">
        <v>8</v>
      </c>
      <c r="C112" s="8" t="s">
        <v>1334</v>
      </c>
      <c r="D112" s="59" t="s">
        <v>1335</v>
      </c>
      <c r="E112" s="8" t="s">
        <v>1314</v>
      </c>
      <c r="F112" s="8" t="s">
        <v>1336</v>
      </c>
      <c r="G112" s="8" t="s">
        <v>1337</v>
      </c>
      <c r="H112" s="8" t="s">
        <v>1338</v>
      </c>
      <c r="I112" t="s">
        <v>1012</v>
      </c>
    </row>
    <row r="113" spans="1:9" ht="42.75">
      <c r="A113" s="215" t="s">
        <v>1312</v>
      </c>
      <c r="B113" s="9">
        <v>9</v>
      </c>
      <c r="C113" s="8" t="s">
        <v>1339</v>
      </c>
      <c r="D113" s="12" t="s">
        <v>1340</v>
      </c>
      <c r="E113" s="8" t="s">
        <v>1314</v>
      </c>
      <c r="F113" s="8" t="s">
        <v>1290</v>
      </c>
      <c r="G113" s="8" t="s">
        <v>1341</v>
      </c>
      <c r="H113" s="8" t="s">
        <v>1338</v>
      </c>
      <c r="I113" t="s">
        <v>1012</v>
      </c>
    </row>
    <row r="114" spans="1:9" ht="42.75">
      <c r="A114" s="215" t="s">
        <v>1312</v>
      </c>
      <c r="B114" s="9">
        <v>10</v>
      </c>
      <c r="C114" s="8" t="s">
        <v>1342</v>
      </c>
      <c r="D114" s="12" t="s">
        <v>1343</v>
      </c>
      <c r="E114" s="8" t="s">
        <v>1344</v>
      </c>
      <c r="F114" s="8" t="s">
        <v>1345</v>
      </c>
      <c r="G114" s="8" t="s">
        <v>1346</v>
      </c>
      <c r="H114" s="8" t="s">
        <v>1347</v>
      </c>
      <c r="I114" t="s">
        <v>1012</v>
      </c>
    </row>
    <row r="115" spans="1:9" ht="42.75">
      <c r="A115" s="215" t="s">
        <v>1312</v>
      </c>
      <c r="B115" s="9">
        <v>11</v>
      </c>
      <c r="C115" s="8" t="s">
        <v>1348</v>
      </c>
      <c r="D115" s="12" t="s">
        <v>1340</v>
      </c>
      <c r="E115" s="8" t="s">
        <v>1314</v>
      </c>
      <c r="F115" s="8"/>
      <c r="G115" s="8" t="s">
        <v>1349</v>
      </c>
      <c r="H115" s="8" t="s">
        <v>1350</v>
      </c>
      <c r="I115" t="s">
        <v>1012</v>
      </c>
    </row>
    <row r="116" spans="1:9" ht="42.75">
      <c r="A116" s="215" t="s">
        <v>1312</v>
      </c>
      <c r="B116" s="9">
        <v>12</v>
      </c>
      <c r="C116" s="8" t="s">
        <v>1351</v>
      </c>
      <c r="D116" s="12" t="s">
        <v>1241</v>
      </c>
      <c r="E116" s="8" t="s">
        <v>1344</v>
      </c>
      <c r="F116" s="8" t="s">
        <v>1352</v>
      </c>
      <c r="G116" s="8" t="s">
        <v>1353</v>
      </c>
      <c r="H116" s="8" t="s">
        <v>1354</v>
      </c>
      <c r="I116" t="s">
        <v>1012</v>
      </c>
    </row>
    <row r="117" spans="1:9">
      <c r="A117" s="216"/>
      <c r="B117" s="10"/>
      <c r="C117" s="11"/>
      <c r="D117" s="11"/>
      <c r="E117" s="11"/>
      <c r="F117" s="11"/>
      <c r="G117" s="11"/>
      <c r="H117" s="11"/>
    </row>
    <row r="118" spans="1:9" ht="213.75">
      <c r="A118" s="215" t="s">
        <v>148</v>
      </c>
      <c r="B118" s="9">
        <v>1</v>
      </c>
      <c r="C118" s="8" t="s">
        <v>1355</v>
      </c>
      <c r="D118" s="8"/>
      <c r="E118" s="8"/>
      <c r="F118" s="8"/>
      <c r="G118" s="8" t="s">
        <v>1356</v>
      </c>
      <c r="H118" s="8" t="s">
        <v>1357</v>
      </c>
      <c r="I118" t="s">
        <v>1012</v>
      </c>
    </row>
    <row r="119" spans="1:9">
      <c r="A119" s="216"/>
      <c r="B119" s="10"/>
      <c r="C119" s="11"/>
      <c r="D119" s="11"/>
      <c r="E119" s="11"/>
      <c r="F119" s="11"/>
      <c r="G119" s="11"/>
      <c r="H119" s="11"/>
    </row>
    <row r="120" spans="1:9" ht="71.25">
      <c r="A120" t="s">
        <v>1907</v>
      </c>
      <c r="B120" s="14">
        <v>1</v>
      </c>
      <c r="C120" s="14" t="s">
        <v>1908</v>
      </c>
      <c r="G120" t="s">
        <v>1911</v>
      </c>
      <c r="I120" t="s">
        <v>1012</v>
      </c>
    </row>
    <row r="121" spans="1:9" ht="57">
      <c r="A121" t="s">
        <v>1907</v>
      </c>
      <c r="B121" s="14">
        <v>2</v>
      </c>
      <c r="C121" s="14" t="s">
        <v>1909</v>
      </c>
      <c r="G121" t="s">
        <v>1912</v>
      </c>
      <c r="I121" t="s">
        <v>1012</v>
      </c>
    </row>
    <row r="122" spans="1:9" ht="57">
      <c r="A122" t="s">
        <v>1907</v>
      </c>
      <c r="B122" s="14">
        <v>3</v>
      </c>
      <c r="C122" s="14" t="s">
        <v>1910</v>
      </c>
      <c r="G122" t="s">
        <v>1913</v>
      </c>
      <c r="I122" t="s">
        <v>1012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998</v>
      </c>
      <c r="B1" s="7" t="s">
        <v>999</v>
      </c>
      <c r="C1" s="7" t="s">
        <v>1000</v>
      </c>
      <c r="D1" s="7" t="s">
        <v>1004</v>
      </c>
      <c r="E1" s="7" t="s">
        <v>1006</v>
      </c>
    </row>
    <row r="2" spans="1:5">
      <c r="A2" s="108"/>
      <c r="B2" s="108"/>
      <c r="C2" s="108"/>
      <c r="D2" s="108"/>
      <c r="E2" s="108"/>
    </row>
    <row r="3" spans="1:5">
      <c r="A3" s="108"/>
      <c r="B3" s="108"/>
      <c r="C3" s="108"/>
      <c r="D3" s="108"/>
      <c r="E3" s="108"/>
    </row>
    <row r="4" spans="1:5">
      <c r="A4" s="108"/>
      <c r="B4" s="108"/>
      <c r="C4" s="108"/>
      <c r="D4" s="108"/>
      <c r="E4" s="108"/>
    </row>
    <row r="5" spans="1:5">
      <c r="A5" s="108"/>
      <c r="B5" s="108"/>
      <c r="C5" s="108"/>
      <c r="D5" s="108"/>
      <c r="E5" s="108"/>
    </row>
    <row r="6" spans="1:5">
      <c r="A6" s="108"/>
      <c r="B6" s="108"/>
      <c r="C6" s="108"/>
      <c r="D6" s="108"/>
      <c r="E6" s="108"/>
    </row>
    <row r="7" spans="1:5">
      <c r="A7" s="108"/>
      <c r="B7" s="108"/>
      <c r="C7" s="108"/>
      <c r="D7" s="108"/>
      <c r="E7" s="108"/>
    </row>
    <row r="8" spans="1:5">
      <c r="A8" s="108"/>
      <c r="B8" s="108"/>
      <c r="C8" s="108"/>
      <c r="D8" s="108"/>
      <c r="E8" s="108"/>
    </row>
    <row r="9" spans="1:5">
      <c r="A9" s="108"/>
      <c r="B9" s="108"/>
      <c r="C9" s="108"/>
      <c r="D9" s="108"/>
      <c r="E9" s="108"/>
    </row>
    <row r="10" spans="1:5">
      <c r="A10" s="108"/>
      <c r="B10" s="108"/>
      <c r="C10" s="108"/>
      <c r="D10" s="108"/>
      <c r="E10" s="108"/>
    </row>
    <row r="11" spans="1:5">
      <c r="A11" s="108"/>
      <c r="B11" s="108"/>
      <c r="C11" s="108"/>
      <c r="D11" s="108"/>
      <c r="E11" s="108"/>
    </row>
    <row r="12" spans="1:5">
      <c r="A12" s="108"/>
      <c r="B12" s="108"/>
      <c r="C12" s="108"/>
      <c r="D12" s="108"/>
      <c r="E12" s="108"/>
    </row>
    <row r="13" spans="1:5">
      <c r="A13" s="108"/>
      <c r="B13" s="108"/>
      <c r="C13" s="108"/>
      <c r="D13" s="108"/>
      <c r="E13" s="108"/>
    </row>
    <row r="14" spans="1:5">
      <c r="A14" s="108"/>
      <c r="B14" s="108"/>
      <c r="C14" s="108"/>
      <c r="D14" s="108"/>
      <c r="E14" s="108"/>
    </row>
    <row r="15" spans="1:5">
      <c r="A15" s="108"/>
      <c r="B15" s="108"/>
      <c r="C15" s="108"/>
      <c r="D15" s="108"/>
      <c r="E15" s="108"/>
    </row>
    <row r="16" spans="1:5">
      <c r="A16" s="108"/>
      <c r="B16" s="108"/>
      <c r="C16" s="108"/>
      <c r="D16" s="108"/>
      <c r="E16" s="108"/>
    </row>
    <row r="17" spans="1:5">
      <c r="A17" s="108"/>
      <c r="B17" s="108"/>
      <c r="C17" s="108"/>
      <c r="D17" s="108"/>
      <c r="E17" s="108"/>
    </row>
    <row r="18" spans="1:5">
      <c r="A18" s="108"/>
      <c r="B18" s="108"/>
      <c r="C18" s="108"/>
      <c r="D18" s="108"/>
      <c r="E18" s="108"/>
    </row>
    <row r="19" spans="1:5">
      <c r="A19" s="108"/>
      <c r="B19" s="108"/>
      <c r="C19" s="108"/>
      <c r="D19" s="108"/>
      <c r="E19" s="108"/>
    </row>
    <row r="20" spans="1:5">
      <c r="A20" s="108"/>
      <c r="B20" s="108"/>
      <c r="C20" s="108"/>
      <c r="D20" s="108"/>
      <c r="E20" s="108"/>
    </row>
    <row r="21" spans="1:5">
      <c r="A21" s="108"/>
      <c r="B21" s="108"/>
      <c r="C21" s="108"/>
      <c r="D21" s="108"/>
      <c r="E21" s="108"/>
    </row>
    <row r="22" spans="1:5">
      <c r="A22" s="108"/>
      <c r="B22" s="108"/>
      <c r="C22" s="108"/>
      <c r="D22" s="108"/>
      <c r="E22" s="108"/>
    </row>
    <row r="23" spans="1:5">
      <c r="A23" s="108"/>
      <c r="B23" s="108"/>
      <c r="C23" s="108"/>
      <c r="D23" s="108"/>
      <c r="E23" s="108"/>
    </row>
    <row r="24" spans="1:5">
      <c r="A24" s="108"/>
      <c r="B24" s="108"/>
      <c r="C24" s="108"/>
      <c r="D24" s="108"/>
      <c r="E24" s="108"/>
    </row>
    <row r="25" spans="1:5">
      <c r="A25" s="108"/>
      <c r="B25" s="108"/>
      <c r="C25" s="108"/>
      <c r="D25" s="108"/>
      <c r="E25" s="108"/>
    </row>
    <row r="26" spans="1:5">
      <c r="A26" s="108"/>
      <c r="B26" s="108"/>
      <c r="C26" s="108"/>
      <c r="D26" s="108"/>
      <c r="E26" s="108"/>
    </row>
    <row r="27" spans="1:5">
      <c r="A27" s="108"/>
      <c r="B27" s="108"/>
      <c r="C27" s="108"/>
      <c r="D27" s="108"/>
      <c r="E27" s="108"/>
    </row>
    <row r="28" spans="1:5">
      <c r="A28" s="108"/>
      <c r="B28" s="108"/>
      <c r="C28" s="108"/>
      <c r="D28" s="108"/>
      <c r="E28" s="108"/>
    </row>
    <row r="29" spans="1:5">
      <c r="A29" s="108"/>
      <c r="B29" s="108"/>
      <c r="C29" s="108"/>
      <c r="D29" s="108"/>
      <c r="E29" s="108"/>
    </row>
    <row r="30" spans="1:5">
      <c r="A30" s="108"/>
      <c r="B30" s="108"/>
      <c r="C30" s="108"/>
      <c r="D30" s="108"/>
      <c r="E30" s="108"/>
    </row>
    <row r="31" spans="1:5">
      <c r="A31" s="108"/>
      <c r="B31" s="108"/>
      <c r="C31" s="108"/>
      <c r="D31" s="108"/>
      <c r="E31" s="108"/>
    </row>
    <row r="32" spans="1:5">
      <c r="A32" s="108"/>
      <c r="B32" s="108"/>
      <c r="C32" s="108"/>
      <c r="D32" s="108"/>
      <c r="E32" s="108"/>
    </row>
    <row r="33" spans="1:5">
      <c r="A33" s="108"/>
      <c r="B33" s="108"/>
      <c r="C33" s="108"/>
      <c r="D33" s="108"/>
      <c r="E33" s="108"/>
    </row>
    <row r="34" spans="1:5">
      <c r="A34" s="108"/>
      <c r="B34" s="108"/>
      <c r="C34" s="108"/>
      <c r="D34" s="108"/>
      <c r="E34" s="108"/>
    </row>
    <row r="35" spans="1:5">
      <c r="A35" s="108"/>
      <c r="B35" s="108"/>
      <c r="C35" s="108"/>
      <c r="D35" s="108"/>
      <c r="E35" s="10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zoomScale="115" zoomScaleNormal="115" workbookViewId="0">
      <selection activeCell="G11" sqref="G11"/>
    </sheetView>
  </sheetViews>
  <sheetFormatPr defaultRowHeight="14.25"/>
  <cols>
    <col min="1" max="1" width="30.875" customWidth="1"/>
    <col min="2" max="2" width="33.375" customWidth="1"/>
    <col min="3" max="3" width="24.125" customWidth="1"/>
    <col min="4" max="4" width="33.375" customWidth="1"/>
  </cols>
  <sheetData>
    <row r="1" spans="1:4" ht="27.95" customHeight="1">
      <c r="A1" s="233" t="s">
        <v>1812</v>
      </c>
      <c r="B1" s="233"/>
      <c r="C1" s="233"/>
      <c r="D1" s="233"/>
    </row>
    <row r="2" spans="1:4" ht="36" customHeight="1">
      <c r="A2" s="234" t="s">
        <v>1813</v>
      </c>
      <c r="B2" s="234"/>
      <c r="C2" s="234"/>
      <c r="D2" s="234"/>
    </row>
    <row r="3" spans="1:4">
      <c r="A3" s="1"/>
      <c r="B3" s="1"/>
      <c r="C3" s="1"/>
      <c r="D3" s="1"/>
    </row>
    <row r="4" spans="1:4" ht="30" customHeight="1">
      <c r="A4" s="109" t="s">
        <v>319</v>
      </c>
      <c r="B4" s="109" t="s">
        <v>1814</v>
      </c>
      <c r="C4" s="109" t="s">
        <v>1815</v>
      </c>
      <c r="D4" s="109" t="s">
        <v>1816</v>
      </c>
    </row>
    <row r="5" spans="1:4" ht="63.75">
      <c r="A5" s="110" t="s">
        <v>40</v>
      </c>
      <c r="B5" s="110" t="s">
        <v>1817</v>
      </c>
      <c r="C5" s="110" t="s">
        <v>1818</v>
      </c>
      <c r="D5" s="110" t="s">
        <v>1810</v>
      </c>
    </row>
    <row r="6" spans="1:4" ht="38.25">
      <c r="A6" s="110" t="s">
        <v>1811</v>
      </c>
      <c r="B6" s="110" t="s">
        <v>1819</v>
      </c>
      <c r="C6" s="110" t="s">
        <v>1818</v>
      </c>
      <c r="D6" s="110" t="s">
        <v>1810</v>
      </c>
    </row>
    <row r="7" spans="1:4" ht="51">
      <c r="A7" s="110" t="s">
        <v>351</v>
      </c>
      <c r="B7" s="110" t="s">
        <v>1820</v>
      </c>
      <c r="C7" s="110" t="s">
        <v>1821</v>
      </c>
      <c r="D7" s="110" t="s">
        <v>1822</v>
      </c>
    </row>
    <row r="8" spans="1:4" ht="63.75">
      <c r="A8" s="110" t="s">
        <v>1823</v>
      </c>
      <c r="B8" s="110" t="s">
        <v>1824</v>
      </c>
      <c r="C8" s="110" t="s">
        <v>1856</v>
      </c>
      <c r="D8" s="110" t="s">
        <v>1843</v>
      </c>
    </row>
    <row r="9" spans="1:4" ht="38.25">
      <c r="A9" s="110" t="s">
        <v>1826</v>
      </c>
      <c r="B9" s="110" t="s">
        <v>1827</v>
      </c>
      <c r="C9" s="110" t="s">
        <v>1828</v>
      </c>
      <c r="D9" s="110" t="s">
        <v>1829</v>
      </c>
    </row>
    <row r="10" spans="1:4" ht="25.5">
      <c r="A10" s="110" t="s">
        <v>1830</v>
      </c>
      <c r="B10" s="110" t="s">
        <v>1831</v>
      </c>
      <c r="C10" s="110" t="s">
        <v>1825</v>
      </c>
      <c r="D10" s="110" t="s">
        <v>1832</v>
      </c>
    </row>
    <row r="11" spans="1:4" ht="51">
      <c r="A11" s="110" t="s">
        <v>285</v>
      </c>
      <c r="B11" s="110" t="s">
        <v>1901</v>
      </c>
      <c r="C11" s="110" t="s">
        <v>1902</v>
      </c>
      <c r="D11" s="110" t="s">
        <v>1903</v>
      </c>
    </row>
    <row r="12" spans="1:4" ht="38.25">
      <c r="A12" s="110" t="s">
        <v>1007</v>
      </c>
      <c r="B12" s="110" t="s">
        <v>1844</v>
      </c>
      <c r="C12" s="110" t="s">
        <v>1904</v>
      </c>
      <c r="D12" s="110" t="s">
        <v>1843</v>
      </c>
    </row>
    <row r="13" spans="1:4" ht="51">
      <c r="A13" s="110" t="s">
        <v>1803</v>
      </c>
      <c r="B13" s="110" t="s">
        <v>1833</v>
      </c>
      <c r="C13" s="110" t="s">
        <v>1856</v>
      </c>
      <c r="D13" s="110" t="s">
        <v>1905</v>
      </c>
    </row>
    <row r="14" spans="1:4" ht="63.75">
      <c r="A14" s="110" t="s">
        <v>148</v>
      </c>
      <c r="B14" s="110" t="s">
        <v>1834</v>
      </c>
      <c r="C14" s="110" t="s">
        <v>1835</v>
      </c>
      <c r="D14" s="110" t="s">
        <v>1836</v>
      </c>
    </row>
    <row r="15" spans="1:4" ht="38.25">
      <c r="A15" s="110" t="s">
        <v>175</v>
      </c>
      <c r="B15" s="110" t="s">
        <v>1837</v>
      </c>
      <c r="C15" s="110" t="s">
        <v>1825</v>
      </c>
      <c r="D15" s="110" t="s">
        <v>1838</v>
      </c>
    </row>
    <row r="16" spans="1:4" ht="25.5">
      <c r="A16" s="110" t="s">
        <v>187</v>
      </c>
      <c r="B16" s="110" t="s">
        <v>1839</v>
      </c>
      <c r="C16" s="110" t="s">
        <v>1818</v>
      </c>
      <c r="D16" s="110" t="s">
        <v>1810</v>
      </c>
    </row>
    <row r="17" spans="1:4" ht="25.5">
      <c r="A17" s="110" t="s">
        <v>1840</v>
      </c>
      <c r="B17" s="110" t="s">
        <v>1841</v>
      </c>
      <c r="C17" s="110" t="s">
        <v>1818</v>
      </c>
      <c r="D17" s="110" t="s">
        <v>1842</v>
      </c>
    </row>
  </sheetData>
  <mergeCells count="2">
    <mergeCell ref="A1:D1"/>
    <mergeCell ref="A2:D2"/>
  </mergeCells>
  <conditionalFormatting sqref="C5:C17">
    <cfRule type="expression" dxfId="44" priority="1">
      <formula>C5="Follow-up required"</formula>
    </cfRule>
    <cfRule type="expression" dxfId="43" priority="2">
      <formula>C5="Awaiting response"</formula>
    </cfRule>
    <cfRule type="expression" dxfId="42" priority="3">
      <formula>C5="On hold due to a legal constraint"</formula>
    </cfRule>
    <cfRule type="expression" dxfId="41" priority="4">
      <formula>C5="No follow-up currently required"</formula>
    </cfRule>
    <cfRule type="expression" dxfId="40"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19" t="s">
        <v>1358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1359</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1360</v>
      </c>
      <c r="C4" s="2" t="s">
        <v>1361</v>
      </c>
      <c r="D4" s="2" t="s">
        <v>1362</v>
      </c>
      <c r="E4" s="2" t="s">
        <v>1363</v>
      </c>
      <c r="F4" s="2" t="s">
        <v>1364</v>
      </c>
      <c r="G4" s="2" t="s">
        <v>1365</v>
      </c>
      <c r="H4" s="1"/>
      <c r="I4" s="1"/>
      <c r="J4" s="1"/>
      <c r="K4" s="1"/>
      <c r="L4" s="1"/>
      <c r="M4" s="1"/>
      <c r="N4" s="1"/>
      <c r="O4" s="1"/>
      <c r="P4" s="1"/>
      <c r="Q4" s="1"/>
      <c r="R4" s="1"/>
      <c r="S4" s="1"/>
      <c r="T4" s="1"/>
      <c r="U4" s="1"/>
      <c r="V4" s="1"/>
      <c r="W4" s="1"/>
      <c r="X4" s="1"/>
      <c r="Y4" s="1"/>
      <c r="Z4" s="1"/>
    </row>
    <row r="5" spans="1:26" ht="30" customHeight="1">
      <c r="A5" s="3" t="s">
        <v>56</v>
      </c>
      <c r="B5" s="3" t="s">
        <v>1366</v>
      </c>
      <c r="C5" s="5" t="s">
        <v>1367</v>
      </c>
      <c r="D5" s="3" t="s">
        <v>1368</v>
      </c>
      <c r="E5" s="3" t="s">
        <v>1369</v>
      </c>
      <c r="F5" s="3" t="s">
        <v>1370</v>
      </c>
      <c r="G5" s="3" t="s">
        <v>1371</v>
      </c>
      <c r="H5" s="1"/>
      <c r="I5" s="1"/>
      <c r="J5" s="1"/>
      <c r="K5" s="1"/>
      <c r="L5" s="1"/>
      <c r="M5" s="1"/>
      <c r="N5" s="1"/>
      <c r="O5" s="1"/>
      <c r="P5" s="1"/>
      <c r="Q5" s="1"/>
      <c r="R5" s="1"/>
      <c r="S5" s="1"/>
      <c r="T5" s="1"/>
      <c r="U5" s="1"/>
      <c r="V5" s="1"/>
      <c r="W5" s="1"/>
      <c r="X5" s="1"/>
      <c r="Y5" s="1"/>
      <c r="Z5" s="1"/>
    </row>
    <row r="6" spans="1:26" ht="30" customHeight="1">
      <c r="A6" s="3" t="s">
        <v>56</v>
      </c>
      <c r="B6" s="3" t="s">
        <v>1372</v>
      </c>
      <c r="C6" s="3" t="s">
        <v>1373</v>
      </c>
      <c r="D6" s="3" t="s">
        <v>1374</v>
      </c>
      <c r="E6" s="3" t="s">
        <v>1375</v>
      </c>
      <c r="F6" s="3" t="s">
        <v>1376</v>
      </c>
      <c r="G6" s="3" t="s">
        <v>1377</v>
      </c>
      <c r="H6" s="1"/>
      <c r="I6" s="1"/>
      <c r="J6" s="1"/>
      <c r="K6" s="1"/>
      <c r="L6" s="1"/>
      <c r="M6" s="1"/>
      <c r="N6" s="1"/>
      <c r="O6" s="1"/>
      <c r="P6" s="1"/>
      <c r="Q6" s="1"/>
      <c r="R6" s="1"/>
      <c r="S6" s="1"/>
      <c r="T6" s="1"/>
      <c r="U6" s="1"/>
      <c r="V6" s="1"/>
      <c r="W6" s="1"/>
      <c r="X6" s="1"/>
      <c r="Y6" s="1"/>
      <c r="Z6" s="1"/>
    </row>
    <row r="7" spans="1:26" ht="30" customHeight="1">
      <c r="A7" s="3" t="s">
        <v>56</v>
      </c>
      <c r="B7" s="3" t="s">
        <v>1378</v>
      </c>
      <c r="C7" s="3" t="s">
        <v>1379</v>
      </c>
      <c r="D7" s="3" t="s">
        <v>1380</v>
      </c>
      <c r="E7" s="3" t="s">
        <v>1381</v>
      </c>
      <c r="F7" s="3" t="s">
        <v>1382</v>
      </c>
      <c r="G7" s="3" t="s">
        <v>1383</v>
      </c>
      <c r="H7" s="1"/>
      <c r="I7" s="1"/>
      <c r="J7" s="1"/>
      <c r="K7" s="1"/>
      <c r="L7" s="1"/>
      <c r="M7" s="1"/>
      <c r="N7" s="1"/>
      <c r="O7" s="1"/>
      <c r="P7" s="1"/>
      <c r="Q7" s="1"/>
      <c r="R7" s="1"/>
      <c r="S7" s="1"/>
      <c r="T7" s="1"/>
      <c r="U7" s="1"/>
      <c r="V7" s="1"/>
      <c r="W7" s="1"/>
      <c r="X7" s="1"/>
      <c r="Y7" s="1"/>
      <c r="Z7" s="1"/>
    </row>
    <row r="8" spans="1:26" ht="30" customHeight="1">
      <c r="A8" s="3" t="s">
        <v>1384</v>
      </c>
      <c r="B8" s="3" t="s">
        <v>1366</v>
      </c>
      <c r="C8" s="3" t="s">
        <v>1385</v>
      </c>
      <c r="D8" s="3" t="s">
        <v>1386</v>
      </c>
      <c r="E8" s="3" t="s">
        <v>1387</v>
      </c>
      <c r="F8" s="3" t="s">
        <v>1388</v>
      </c>
      <c r="G8" s="3" t="s">
        <v>1389</v>
      </c>
      <c r="H8" s="1"/>
      <c r="I8" s="1"/>
      <c r="J8" s="1"/>
      <c r="K8" s="1"/>
      <c r="L8" s="1"/>
      <c r="M8" s="1"/>
      <c r="N8" s="1"/>
      <c r="O8" s="1"/>
      <c r="P8" s="1"/>
      <c r="Q8" s="1"/>
      <c r="R8" s="1"/>
      <c r="S8" s="1"/>
      <c r="T8" s="1"/>
      <c r="U8" s="1"/>
      <c r="V8" s="1"/>
      <c r="W8" s="1"/>
      <c r="X8" s="1"/>
      <c r="Y8" s="1"/>
      <c r="Z8" s="1"/>
    </row>
    <row r="9" spans="1:26" ht="30" customHeight="1">
      <c r="A9" s="3" t="s">
        <v>1384</v>
      </c>
      <c r="B9" s="3" t="s">
        <v>1372</v>
      </c>
      <c r="C9" s="3" t="s">
        <v>1390</v>
      </c>
      <c r="D9" s="3" t="s">
        <v>1391</v>
      </c>
      <c r="E9" s="3" t="s">
        <v>1392</v>
      </c>
      <c r="F9" s="3" t="s">
        <v>1393</v>
      </c>
      <c r="G9" s="3" t="s">
        <v>1394</v>
      </c>
      <c r="H9" s="1"/>
      <c r="I9" s="1"/>
      <c r="J9" s="1"/>
      <c r="K9" s="1"/>
      <c r="L9" s="1"/>
      <c r="M9" s="1"/>
      <c r="N9" s="1"/>
      <c r="O9" s="1"/>
      <c r="P9" s="1"/>
      <c r="Q9" s="1"/>
      <c r="R9" s="1"/>
      <c r="S9" s="1"/>
      <c r="T9" s="1"/>
      <c r="U9" s="1"/>
      <c r="V9" s="1"/>
      <c r="W9" s="1"/>
      <c r="X9" s="1"/>
      <c r="Y9" s="1"/>
      <c r="Z9" s="1"/>
    </row>
    <row r="10" spans="1:26" ht="30" customHeight="1">
      <c r="A10" s="3" t="s">
        <v>1384</v>
      </c>
      <c r="B10" s="3" t="s">
        <v>1378</v>
      </c>
      <c r="C10" s="3" t="s">
        <v>1395</v>
      </c>
      <c r="D10" s="3" t="s">
        <v>1396</v>
      </c>
      <c r="E10" s="3" t="s">
        <v>1397</v>
      </c>
      <c r="F10" s="3" t="s">
        <v>1398</v>
      </c>
      <c r="G10" s="3" t="s">
        <v>1399</v>
      </c>
      <c r="H10" s="1"/>
      <c r="I10" s="1"/>
      <c r="J10" s="1"/>
      <c r="K10" s="1"/>
      <c r="L10" s="1"/>
      <c r="M10" s="1"/>
      <c r="N10" s="1"/>
      <c r="O10" s="1"/>
      <c r="P10" s="1"/>
      <c r="Q10" s="1"/>
      <c r="R10" s="1"/>
      <c r="S10" s="1"/>
      <c r="T10" s="1"/>
      <c r="U10" s="1"/>
      <c r="V10" s="1"/>
      <c r="W10" s="1"/>
      <c r="X10" s="1"/>
      <c r="Y10" s="1"/>
      <c r="Z10" s="1"/>
    </row>
    <row r="11" spans="1:26" ht="30" customHeight="1">
      <c r="A11" s="3" t="s">
        <v>1400</v>
      </c>
      <c r="B11" s="3" t="s">
        <v>1366</v>
      </c>
      <c r="C11" s="3" t="s">
        <v>1401</v>
      </c>
      <c r="D11" s="3" t="s">
        <v>1402</v>
      </c>
      <c r="E11" s="3" t="s">
        <v>1403</v>
      </c>
      <c r="F11" s="3" t="s">
        <v>1404</v>
      </c>
      <c r="G11" s="3" t="s">
        <v>1405</v>
      </c>
      <c r="H11" s="1"/>
      <c r="I11" s="1"/>
      <c r="J11" s="1"/>
      <c r="K11" s="1"/>
      <c r="L11" s="1"/>
      <c r="M11" s="1"/>
      <c r="N11" s="1"/>
      <c r="O11" s="1"/>
      <c r="P11" s="1"/>
      <c r="Q11" s="1"/>
      <c r="R11" s="1"/>
      <c r="S11" s="1"/>
      <c r="T11" s="1"/>
      <c r="U11" s="1"/>
      <c r="V11" s="1"/>
      <c r="W11" s="1"/>
      <c r="X11" s="1"/>
      <c r="Y11" s="1"/>
      <c r="Z11" s="1"/>
    </row>
    <row r="12" spans="1:26" ht="30" customHeight="1">
      <c r="A12" s="3" t="s">
        <v>1400</v>
      </c>
      <c r="B12" s="3" t="s">
        <v>1372</v>
      </c>
      <c r="C12" s="3" t="s">
        <v>1406</v>
      </c>
      <c r="D12" s="3" t="s">
        <v>1407</v>
      </c>
      <c r="E12" s="3" t="s">
        <v>1408</v>
      </c>
      <c r="F12" s="3" t="s">
        <v>1409</v>
      </c>
      <c r="G12" s="3" t="s">
        <v>1410</v>
      </c>
      <c r="H12" s="1"/>
      <c r="I12" s="1"/>
      <c r="J12" s="1"/>
      <c r="K12" s="1"/>
      <c r="L12" s="1"/>
      <c r="M12" s="1"/>
      <c r="N12" s="1"/>
      <c r="O12" s="1"/>
      <c r="P12" s="1"/>
      <c r="Q12" s="1"/>
      <c r="R12" s="1"/>
      <c r="S12" s="1"/>
      <c r="T12" s="1"/>
      <c r="U12" s="1"/>
      <c r="V12" s="1"/>
      <c r="W12" s="1"/>
      <c r="X12" s="1"/>
      <c r="Y12" s="1"/>
      <c r="Z12" s="1"/>
    </row>
    <row r="13" spans="1:26" ht="30" customHeight="1">
      <c r="A13" s="3" t="s">
        <v>1400</v>
      </c>
      <c r="B13" s="3" t="s">
        <v>1378</v>
      </c>
      <c r="C13" s="3" t="s">
        <v>1411</v>
      </c>
      <c r="D13" s="3" t="s">
        <v>1412</v>
      </c>
      <c r="E13" s="3" t="s">
        <v>1413</v>
      </c>
      <c r="F13" s="3" t="s">
        <v>1414</v>
      </c>
      <c r="G13" s="3" t="s">
        <v>1415</v>
      </c>
      <c r="H13" s="1"/>
      <c r="I13" s="1"/>
      <c r="J13" s="1"/>
      <c r="K13" s="1"/>
      <c r="L13" s="1"/>
      <c r="M13" s="1"/>
      <c r="N13" s="1"/>
      <c r="O13" s="1"/>
      <c r="P13" s="1"/>
      <c r="Q13" s="1"/>
      <c r="R13" s="1"/>
      <c r="S13" s="1"/>
      <c r="T13" s="1"/>
      <c r="U13" s="1"/>
      <c r="V13" s="1"/>
      <c r="W13" s="1"/>
      <c r="X13" s="1"/>
      <c r="Y13" s="1"/>
      <c r="Z13" s="1"/>
    </row>
    <row r="14" spans="1:26" ht="30" customHeight="1">
      <c r="A14" s="3" t="s">
        <v>1416</v>
      </c>
      <c r="B14" s="3" t="s">
        <v>1366</v>
      </c>
      <c r="C14" s="3" t="s">
        <v>1417</v>
      </c>
      <c r="D14" s="3" t="s">
        <v>1418</v>
      </c>
      <c r="E14" s="3" t="s">
        <v>1419</v>
      </c>
      <c r="F14" s="3" t="s">
        <v>1420</v>
      </c>
      <c r="G14" s="3" t="s">
        <v>1421</v>
      </c>
      <c r="H14" s="1"/>
      <c r="I14" s="1"/>
      <c r="J14" s="1"/>
      <c r="K14" s="1"/>
      <c r="L14" s="1"/>
      <c r="M14" s="1"/>
      <c r="N14" s="1"/>
      <c r="O14" s="1"/>
      <c r="P14" s="1"/>
      <c r="Q14" s="1"/>
      <c r="R14" s="1"/>
      <c r="S14" s="1"/>
      <c r="T14" s="1"/>
      <c r="U14" s="1"/>
      <c r="V14" s="1"/>
      <c r="W14" s="1"/>
      <c r="X14" s="1"/>
      <c r="Y14" s="1"/>
      <c r="Z14" s="1"/>
    </row>
    <row r="15" spans="1:26" ht="30" customHeight="1">
      <c r="A15" s="3" t="s">
        <v>1416</v>
      </c>
      <c r="B15" s="3" t="s">
        <v>1372</v>
      </c>
      <c r="C15" s="3" t="s">
        <v>1422</v>
      </c>
      <c r="D15" s="3" t="s">
        <v>1423</v>
      </c>
      <c r="E15" s="3" t="s">
        <v>1424</v>
      </c>
      <c r="F15" s="3" t="s">
        <v>1425</v>
      </c>
      <c r="G15" s="3" t="s">
        <v>1426</v>
      </c>
      <c r="H15" s="1"/>
      <c r="I15" s="1"/>
      <c r="J15" s="1"/>
      <c r="K15" s="1"/>
      <c r="L15" s="1"/>
      <c r="M15" s="1"/>
      <c r="N15" s="1"/>
      <c r="O15" s="1"/>
      <c r="P15" s="1"/>
      <c r="Q15" s="1"/>
      <c r="R15" s="1"/>
      <c r="S15" s="1"/>
      <c r="T15" s="1"/>
      <c r="U15" s="1"/>
      <c r="V15" s="1"/>
      <c r="W15" s="1"/>
      <c r="X15" s="1"/>
      <c r="Y15" s="1"/>
      <c r="Z15" s="1"/>
    </row>
    <row r="16" spans="1:26" ht="30" customHeight="1">
      <c r="A16" s="3" t="s">
        <v>1416</v>
      </c>
      <c r="B16" s="3" t="s">
        <v>1378</v>
      </c>
      <c r="C16" s="3" t="s">
        <v>1427</v>
      </c>
      <c r="D16" s="3" t="s">
        <v>1428</v>
      </c>
      <c r="E16" s="3" t="s">
        <v>1429</v>
      </c>
      <c r="F16" s="3" t="s">
        <v>1430</v>
      </c>
      <c r="G16" s="3" t="s">
        <v>1431</v>
      </c>
      <c r="H16" s="1"/>
      <c r="I16" s="1"/>
      <c r="J16" s="1"/>
      <c r="K16" s="1"/>
      <c r="L16" s="1"/>
      <c r="M16" s="1"/>
      <c r="N16" s="1"/>
      <c r="O16" s="1"/>
      <c r="P16" s="1"/>
      <c r="Q16" s="1"/>
      <c r="R16" s="1"/>
      <c r="S16" s="1"/>
      <c r="T16" s="1"/>
      <c r="U16" s="1"/>
      <c r="V16" s="1"/>
      <c r="W16" s="1"/>
      <c r="X16" s="1"/>
      <c r="Y16" s="1"/>
      <c r="Z16" s="1"/>
    </row>
    <row r="17" spans="1:26" ht="30" customHeight="1">
      <c r="A17" s="3" t="s">
        <v>273</v>
      </c>
      <c r="B17" s="3" t="s">
        <v>1366</v>
      </c>
      <c r="C17" s="3" t="s">
        <v>1432</v>
      </c>
      <c r="D17" s="3" t="s">
        <v>1433</v>
      </c>
      <c r="E17" s="3" t="s">
        <v>1434</v>
      </c>
      <c r="F17" s="3" t="s">
        <v>1435</v>
      </c>
      <c r="G17" s="3" t="s">
        <v>1421</v>
      </c>
      <c r="H17" s="1"/>
      <c r="I17" s="1"/>
      <c r="J17" s="1"/>
      <c r="K17" s="1"/>
      <c r="L17" s="1"/>
      <c r="M17" s="1"/>
      <c r="N17" s="1"/>
      <c r="O17" s="1"/>
      <c r="P17" s="1"/>
      <c r="Q17" s="1"/>
      <c r="R17" s="1"/>
      <c r="S17" s="1"/>
      <c r="T17" s="1"/>
      <c r="U17" s="1"/>
      <c r="V17" s="1"/>
      <c r="W17" s="1"/>
      <c r="X17" s="1"/>
      <c r="Y17" s="1"/>
      <c r="Z17" s="1"/>
    </row>
    <row r="18" spans="1:26" ht="30" customHeight="1">
      <c r="A18" s="3" t="s">
        <v>273</v>
      </c>
      <c r="B18" s="3" t="s">
        <v>1372</v>
      </c>
      <c r="C18" s="3" t="s">
        <v>1436</v>
      </c>
      <c r="D18" s="3" t="s">
        <v>1437</v>
      </c>
      <c r="E18" s="3" t="s">
        <v>1438</v>
      </c>
      <c r="F18" s="3" t="s">
        <v>1439</v>
      </c>
      <c r="G18" s="3" t="s">
        <v>1440</v>
      </c>
      <c r="H18" s="1"/>
      <c r="I18" s="1"/>
      <c r="J18" s="1"/>
      <c r="K18" s="1"/>
      <c r="L18" s="1"/>
      <c r="M18" s="1"/>
      <c r="N18" s="1"/>
      <c r="O18" s="1"/>
      <c r="P18" s="1"/>
      <c r="Q18" s="1"/>
      <c r="R18" s="1"/>
      <c r="S18" s="1"/>
      <c r="T18" s="1"/>
      <c r="U18" s="1"/>
      <c r="V18" s="1"/>
      <c r="W18" s="1"/>
      <c r="X18" s="1"/>
      <c r="Y18" s="1"/>
      <c r="Z18" s="1"/>
    </row>
    <row r="19" spans="1:26" ht="30" customHeight="1">
      <c r="A19" s="3" t="s">
        <v>273</v>
      </c>
      <c r="B19" s="3" t="s">
        <v>1378</v>
      </c>
      <c r="C19" s="3" t="s">
        <v>1441</v>
      </c>
      <c r="D19" s="3" t="s">
        <v>1442</v>
      </c>
      <c r="E19" s="3" t="s">
        <v>1443</v>
      </c>
      <c r="F19" s="3" t="s">
        <v>1444</v>
      </c>
      <c r="G19" s="3" t="s">
        <v>1445</v>
      </c>
      <c r="H19" s="1"/>
      <c r="I19" s="1"/>
      <c r="J19" s="1"/>
      <c r="K19" s="1"/>
      <c r="L19" s="1"/>
      <c r="M19" s="1"/>
      <c r="N19" s="1"/>
      <c r="O19" s="1"/>
      <c r="P19" s="1"/>
      <c r="Q19" s="1"/>
      <c r="R19" s="1"/>
      <c r="S19" s="1"/>
      <c r="T19" s="1"/>
      <c r="U19" s="1"/>
      <c r="V19" s="1"/>
      <c r="W19" s="1"/>
      <c r="X19" s="1"/>
      <c r="Y19" s="1"/>
      <c r="Z19" s="1"/>
    </row>
    <row r="20" spans="1:26" ht="30" customHeight="1">
      <c r="A20" s="3" t="s">
        <v>136</v>
      </c>
      <c r="B20" s="3" t="s">
        <v>1366</v>
      </c>
      <c r="C20" s="3" t="s">
        <v>1446</v>
      </c>
      <c r="D20" s="3" t="s">
        <v>1447</v>
      </c>
      <c r="E20" s="3" t="s">
        <v>1448</v>
      </c>
      <c r="F20" s="3" t="s">
        <v>1449</v>
      </c>
      <c r="G20" s="3" t="s">
        <v>1421</v>
      </c>
      <c r="H20" s="1"/>
      <c r="I20" s="1"/>
      <c r="J20" s="1"/>
      <c r="K20" s="1"/>
      <c r="L20" s="1"/>
      <c r="M20" s="1"/>
      <c r="N20" s="1"/>
      <c r="O20" s="1"/>
      <c r="P20" s="1"/>
      <c r="Q20" s="1"/>
      <c r="R20" s="1"/>
      <c r="S20" s="1"/>
      <c r="T20" s="1"/>
      <c r="U20" s="1"/>
      <c r="V20" s="1"/>
      <c r="W20" s="1"/>
      <c r="X20" s="1"/>
      <c r="Y20" s="1"/>
      <c r="Z20" s="1"/>
    </row>
    <row r="21" spans="1:26" ht="30" customHeight="1">
      <c r="A21" s="3" t="s">
        <v>136</v>
      </c>
      <c r="B21" s="3" t="s">
        <v>1372</v>
      </c>
      <c r="C21" s="3" t="s">
        <v>1450</v>
      </c>
      <c r="D21" s="3" t="s">
        <v>1451</v>
      </c>
      <c r="E21" s="3" t="s">
        <v>1452</v>
      </c>
      <c r="F21" s="3" t="s">
        <v>1453</v>
      </c>
      <c r="G21" s="3" t="s">
        <v>1410</v>
      </c>
      <c r="H21" s="1"/>
      <c r="I21" s="1"/>
      <c r="J21" s="1"/>
      <c r="K21" s="1"/>
      <c r="L21" s="1"/>
      <c r="M21" s="1"/>
      <c r="N21" s="1"/>
      <c r="O21" s="1"/>
      <c r="P21" s="1"/>
      <c r="Q21" s="1"/>
      <c r="R21" s="1"/>
      <c r="S21" s="1"/>
      <c r="T21" s="1"/>
      <c r="U21" s="1"/>
      <c r="V21" s="1"/>
      <c r="W21" s="1"/>
      <c r="X21" s="1"/>
      <c r="Y21" s="1"/>
      <c r="Z21" s="1"/>
    </row>
    <row r="22" spans="1:26" ht="30" customHeight="1">
      <c r="A22" s="3" t="s">
        <v>136</v>
      </c>
      <c r="B22" s="3" t="s">
        <v>1378</v>
      </c>
      <c r="C22" s="3" t="s">
        <v>1454</v>
      </c>
      <c r="D22" s="3" t="s">
        <v>1455</v>
      </c>
      <c r="E22" s="3" t="s">
        <v>1456</v>
      </c>
      <c r="F22" s="3" t="s">
        <v>1457</v>
      </c>
      <c r="G22" s="3" t="s">
        <v>1458</v>
      </c>
      <c r="H22" s="1"/>
      <c r="I22" s="1"/>
      <c r="J22" s="1"/>
      <c r="K22" s="1"/>
      <c r="L22" s="1"/>
      <c r="M22" s="1"/>
      <c r="N22" s="1"/>
      <c r="O22" s="1"/>
      <c r="P22" s="1"/>
      <c r="Q22" s="1"/>
      <c r="R22" s="1"/>
      <c r="S22" s="1"/>
      <c r="T22" s="1"/>
      <c r="U22" s="1"/>
      <c r="V22" s="1"/>
      <c r="W22" s="1"/>
      <c r="X22" s="1"/>
      <c r="Y22" s="1"/>
      <c r="Z22" s="1"/>
    </row>
    <row r="23" spans="1:26" ht="30" customHeight="1">
      <c r="A23" s="3" t="s">
        <v>285</v>
      </c>
      <c r="B23" s="3" t="s">
        <v>1366</v>
      </c>
      <c r="C23" s="3" t="s">
        <v>1459</v>
      </c>
      <c r="D23" s="3" t="s">
        <v>1460</v>
      </c>
      <c r="E23" s="3" t="s">
        <v>1461</v>
      </c>
      <c r="F23" s="3" t="s">
        <v>1462</v>
      </c>
      <c r="G23" s="3" t="s">
        <v>1421</v>
      </c>
      <c r="H23" s="1"/>
      <c r="I23" s="1"/>
      <c r="J23" s="1"/>
      <c r="K23" s="1"/>
      <c r="L23" s="1"/>
      <c r="M23" s="1"/>
      <c r="N23" s="1"/>
      <c r="O23" s="1"/>
      <c r="P23" s="1"/>
      <c r="Q23" s="1"/>
      <c r="R23" s="1"/>
      <c r="S23" s="1"/>
      <c r="T23" s="1"/>
      <c r="U23" s="1"/>
      <c r="V23" s="1"/>
      <c r="W23" s="1"/>
      <c r="X23" s="1"/>
      <c r="Y23" s="1"/>
      <c r="Z23" s="1"/>
    </row>
    <row r="24" spans="1:26" ht="30" customHeight="1">
      <c r="A24" s="3" t="s">
        <v>285</v>
      </c>
      <c r="B24" s="3" t="s">
        <v>1372</v>
      </c>
      <c r="C24" s="3" t="s">
        <v>1463</v>
      </c>
      <c r="D24" s="3" t="s">
        <v>1464</v>
      </c>
      <c r="E24" s="3" t="s">
        <v>1465</v>
      </c>
      <c r="F24" s="3" t="s">
        <v>1466</v>
      </c>
      <c r="G24" s="3" t="s">
        <v>1467</v>
      </c>
      <c r="H24" s="1"/>
      <c r="I24" s="1"/>
      <c r="J24" s="1"/>
      <c r="K24" s="1"/>
      <c r="L24" s="1"/>
      <c r="M24" s="1"/>
      <c r="N24" s="1"/>
      <c r="O24" s="1"/>
      <c r="P24" s="1"/>
      <c r="Q24" s="1"/>
      <c r="R24" s="1"/>
      <c r="S24" s="1"/>
      <c r="T24" s="1"/>
      <c r="U24" s="1"/>
      <c r="V24" s="1"/>
      <c r="W24" s="1"/>
      <c r="X24" s="1"/>
      <c r="Y24" s="1"/>
      <c r="Z24" s="1"/>
    </row>
    <row r="25" spans="1:26" ht="30" customHeight="1">
      <c r="A25" s="3" t="s">
        <v>285</v>
      </c>
      <c r="B25" s="3" t="s">
        <v>1378</v>
      </c>
      <c r="C25" s="3" t="s">
        <v>1468</v>
      </c>
      <c r="D25" s="3" t="s">
        <v>1469</v>
      </c>
      <c r="E25" s="3" t="s">
        <v>1470</v>
      </c>
      <c r="F25" s="3" t="s">
        <v>1471</v>
      </c>
      <c r="G25" s="3" t="s">
        <v>1472</v>
      </c>
      <c r="H25" s="1"/>
      <c r="I25" s="1"/>
      <c r="J25" s="1"/>
      <c r="K25" s="1"/>
      <c r="L25" s="1"/>
      <c r="M25" s="1"/>
      <c r="N25" s="1"/>
      <c r="O25" s="1"/>
      <c r="P25" s="1"/>
      <c r="Q25" s="1"/>
      <c r="R25" s="1"/>
      <c r="S25" s="1"/>
      <c r="T25" s="1"/>
      <c r="U25" s="1"/>
      <c r="V25" s="1"/>
      <c r="W25" s="1"/>
      <c r="X25" s="1"/>
      <c r="Y25" s="1"/>
      <c r="Z25" s="1"/>
    </row>
    <row r="26" spans="1:26" ht="30" customHeight="1">
      <c r="A26" s="3" t="s">
        <v>148</v>
      </c>
      <c r="B26" s="3" t="s">
        <v>1366</v>
      </c>
      <c r="C26" s="3" t="s">
        <v>1473</v>
      </c>
      <c r="D26" s="3" t="s">
        <v>1474</v>
      </c>
      <c r="E26" s="3" t="s">
        <v>1475</v>
      </c>
      <c r="F26" s="3" t="s">
        <v>1476</v>
      </c>
      <c r="G26" s="3" t="s">
        <v>1421</v>
      </c>
      <c r="H26" s="1"/>
      <c r="I26" s="1"/>
      <c r="J26" s="1"/>
      <c r="K26" s="1"/>
      <c r="L26" s="1"/>
      <c r="M26" s="1"/>
      <c r="N26" s="1"/>
      <c r="O26" s="1"/>
      <c r="P26" s="1"/>
      <c r="Q26" s="1"/>
      <c r="R26" s="1"/>
      <c r="S26" s="1"/>
      <c r="T26" s="1"/>
      <c r="U26" s="1"/>
      <c r="V26" s="1"/>
      <c r="W26" s="1"/>
      <c r="X26" s="1"/>
      <c r="Y26" s="1"/>
      <c r="Z26" s="1"/>
    </row>
    <row r="27" spans="1:26" ht="30" customHeight="1">
      <c r="A27" s="3" t="s">
        <v>148</v>
      </c>
      <c r="B27" s="3" t="s">
        <v>1372</v>
      </c>
      <c r="C27" s="3" t="s">
        <v>1477</v>
      </c>
      <c r="D27" s="3" t="s">
        <v>1478</v>
      </c>
      <c r="E27" s="3" t="s">
        <v>1479</v>
      </c>
      <c r="F27" s="3" t="s">
        <v>1480</v>
      </c>
      <c r="G27" s="3" t="s">
        <v>1481</v>
      </c>
      <c r="H27" s="1"/>
      <c r="I27" s="1"/>
      <c r="J27" s="1"/>
      <c r="K27" s="1"/>
      <c r="L27" s="1"/>
      <c r="M27" s="1"/>
      <c r="N27" s="1"/>
      <c r="O27" s="1"/>
      <c r="P27" s="1"/>
      <c r="Q27" s="1"/>
      <c r="R27" s="1"/>
      <c r="S27" s="1"/>
      <c r="T27" s="1"/>
      <c r="U27" s="1"/>
      <c r="V27" s="1"/>
      <c r="W27" s="1"/>
      <c r="X27" s="1"/>
      <c r="Y27" s="1"/>
      <c r="Z27" s="1"/>
    </row>
    <row r="28" spans="1:26" ht="30" customHeight="1">
      <c r="A28" s="3" t="s">
        <v>148</v>
      </c>
      <c r="B28" s="3" t="s">
        <v>1378</v>
      </c>
      <c r="C28" s="3" t="s">
        <v>1482</v>
      </c>
      <c r="D28" s="3" t="s">
        <v>1483</v>
      </c>
      <c r="E28" s="3" t="s">
        <v>1484</v>
      </c>
      <c r="F28" s="3" t="s">
        <v>1430</v>
      </c>
      <c r="G28" s="3" t="s">
        <v>1485</v>
      </c>
      <c r="H28" s="1"/>
      <c r="I28" s="1"/>
      <c r="J28" s="1"/>
      <c r="K28" s="1"/>
      <c r="L28" s="1"/>
      <c r="M28" s="1"/>
      <c r="N28" s="1"/>
      <c r="O28" s="1"/>
      <c r="P28" s="1"/>
      <c r="Q28" s="1"/>
      <c r="R28" s="1"/>
      <c r="S28" s="1"/>
      <c r="T28" s="1"/>
      <c r="U28" s="1"/>
      <c r="V28" s="1"/>
      <c r="W28" s="1"/>
      <c r="X28" s="1"/>
      <c r="Y28" s="1"/>
      <c r="Z28" s="1"/>
    </row>
    <row r="29" spans="1:26" ht="30" customHeight="1">
      <c r="A29" s="3" t="s">
        <v>297</v>
      </c>
      <c r="B29" s="3" t="s">
        <v>1366</v>
      </c>
      <c r="C29" s="3" t="s">
        <v>1486</v>
      </c>
      <c r="D29" s="3" t="s">
        <v>1487</v>
      </c>
      <c r="E29" s="3" t="s">
        <v>1488</v>
      </c>
      <c r="F29" s="3" t="s">
        <v>1489</v>
      </c>
      <c r="G29" s="3" t="s">
        <v>1421</v>
      </c>
      <c r="H29" s="1"/>
      <c r="I29" s="1"/>
      <c r="J29" s="1"/>
      <c r="K29" s="1"/>
      <c r="L29" s="1"/>
      <c r="M29" s="1"/>
      <c r="N29" s="1"/>
      <c r="O29" s="1"/>
      <c r="P29" s="1"/>
      <c r="Q29" s="1"/>
      <c r="R29" s="1"/>
      <c r="S29" s="1"/>
      <c r="T29" s="1"/>
      <c r="U29" s="1"/>
      <c r="V29" s="1"/>
      <c r="W29" s="1"/>
      <c r="X29" s="1"/>
      <c r="Y29" s="1"/>
      <c r="Z29" s="1"/>
    </row>
    <row r="30" spans="1:26" ht="30" customHeight="1">
      <c r="A30" s="3" t="s">
        <v>297</v>
      </c>
      <c r="B30" s="3" t="s">
        <v>1372</v>
      </c>
      <c r="C30" s="3" t="s">
        <v>1490</v>
      </c>
      <c r="D30" s="3" t="s">
        <v>1491</v>
      </c>
      <c r="E30" s="3" t="s">
        <v>1492</v>
      </c>
      <c r="F30" s="3" t="s">
        <v>1493</v>
      </c>
      <c r="G30" s="3" t="s">
        <v>1494</v>
      </c>
      <c r="H30" s="1"/>
      <c r="I30" s="1"/>
      <c r="J30" s="1"/>
      <c r="K30" s="1"/>
      <c r="L30" s="1"/>
      <c r="M30" s="1"/>
      <c r="N30" s="1"/>
      <c r="O30" s="1"/>
      <c r="P30" s="1"/>
      <c r="Q30" s="1"/>
      <c r="R30" s="1"/>
      <c r="S30" s="1"/>
      <c r="T30" s="1"/>
      <c r="U30" s="1"/>
      <c r="V30" s="1"/>
      <c r="W30" s="1"/>
      <c r="X30" s="1"/>
      <c r="Y30" s="1"/>
      <c r="Z30" s="1"/>
    </row>
    <row r="31" spans="1:26" ht="30" customHeight="1">
      <c r="A31" s="3" t="s">
        <v>297</v>
      </c>
      <c r="B31" s="3" t="s">
        <v>1378</v>
      </c>
      <c r="C31" s="3" t="s">
        <v>1495</v>
      </c>
      <c r="D31" s="3" t="s">
        <v>1496</v>
      </c>
      <c r="E31" s="3" t="s">
        <v>1497</v>
      </c>
      <c r="F31" s="3" t="s">
        <v>1498</v>
      </c>
      <c r="G31" s="3" t="s">
        <v>1499</v>
      </c>
      <c r="H31" s="1"/>
      <c r="I31" s="1"/>
      <c r="J31" s="1"/>
      <c r="K31" s="1"/>
      <c r="L31" s="1"/>
      <c r="M31" s="1"/>
      <c r="N31" s="1"/>
      <c r="O31" s="1"/>
      <c r="P31" s="1"/>
      <c r="Q31" s="1"/>
      <c r="R31" s="1"/>
      <c r="S31" s="1"/>
      <c r="T31" s="1"/>
      <c r="U31" s="1"/>
      <c r="V31" s="1"/>
      <c r="W31" s="1"/>
      <c r="X31" s="1"/>
      <c r="Y31" s="1"/>
      <c r="Z31" s="1"/>
    </row>
    <row r="32" spans="1:26" ht="30" customHeight="1">
      <c r="A32" s="3" t="s">
        <v>1500</v>
      </c>
      <c r="B32" s="3" t="s">
        <v>1366</v>
      </c>
      <c r="C32" s="3" t="s">
        <v>1501</v>
      </c>
      <c r="D32" s="3" t="s">
        <v>1502</v>
      </c>
      <c r="E32" s="3" t="s">
        <v>1503</v>
      </c>
      <c r="F32" s="3" t="s">
        <v>1504</v>
      </c>
      <c r="G32" s="3" t="s">
        <v>1421</v>
      </c>
      <c r="H32" s="1"/>
      <c r="I32" s="1"/>
      <c r="J32" s="1"/>
      <c r="K32" s="1"/>
      <c r="L32" s="1"/>
      <c r="M32" s="1"/>
      <c r="N32" s="1"/>
      <c r="O32" s="1"/>
      <c r="P32" s="1"/>
      <c r="Q32" s="1"/>
      <c r="R32" s="1"/>
      <c r="S32" s="1"/>
      <c r="T32" s="1"/>
      <c r="U32" s="1"/>
      <c r="V32" s="1"/>
      <c r="W32" s="1"/>
      <c r="X32" s="1"/>
      <c r="Y32" s="1"/>
      <c r="Z32" s="1"/>
    </row>
    <row r="33" spans="1:26" ht="30" customHeight="1">
      <c r="A33" s="3" t="s">
        <v>1500</v>
      </c>
      <c r="B33" s="3" t="s">
        <v>1372</v>
      </c>
      <c r="C33" s="3" t="s">
        <v>1505</v>
      </c>
      <c r="D33" s="3" t="s">
        <v>1506</v>
      </c>
      <c r="E33" s="3" t="s">
        <v>1507</v>
      </c>
      <c r="F33" s="3" t="s">
        <v>1508</v>
      </c>
      <c r="G33" s="3" t="s">
        <v>1509</v>
      </c>
      <c r="H33" s="1"/>
      <c r="I33" s="1"/>
      <c r="J33" s="1"/>
      <c r="K33" s="1"/>
      <c r="L33" s="1"/>
      <c r="M33" s="1"/>
      <c r="N33" s="1"/>
      <c r="O33" s="1"/>
      <c r="P33" s="1"/>
      <c r="Q33" s="1"/>
      <c r="R33" s="1"/>
      <c r="S33" s="1"/>
      <c r="T33" s="1"/>
      <c r="U33" s="1"/>
      <c r="V33" s="1"/>
      <c r="W33" s="1"/>
      <c r="X33" s="1"/>
      <c r="Y33" s="1"/>
      <c r="Z33" s="1"/>
    </row>
    <row r="34" spans="1:26" ht="30" customHeight="1">
      <c r="A34" s="3" t="s">
        <v>1500</v>
      </c>
      <c r="B34" s="3" t="s">
        <v>1378</v>
      </c>
      <c r="C34" s="3" t="s">
        <v>1510</v>
      </c>
      <c r="D34" s="3" t="s">
        <v>1511</v>
      </c>
      <c r="E34" s="3" t="s">
        <v>1512</v>
      </c>
      <c r="F34" s="3" t="s">
        <v>1513</v>
      </c>
      <c r="G34" s="3" t="s">
        <v>1514</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39" priority="1">
      <formula>B5="Best-Case"</formula>
    </cfRule>
    <cfRule type="expression" dxfId="38" priority="2">
      <formula>B5="Most-Likely"</formula>
    </cfRule>
    <cfRule type="expression" dxfId="37"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19" t="s">
        <v>1515</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1516</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1517</v>
      </c>
      <c r="C4" s="2" t="s">
        <v>1518</v>
      </c>
      <c r="D4" s="2" t="s">
        <v>1519</v>
      </c>
      <c r="E4" s="2" t="s">
        <v>1520</v>
      </c>
      <c r="F4" s="2" t="s">
        <v>1521</v>
      </c>
      <c r="G4" s="2" t="s">
        <v>1522</v>
      </c>
      <c r="H4" s="2" t="s">
        <v>1523</v>
      </c>
      <c r="I4" s="2" t="s">
        <v>1524</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1525</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1526</v>
      </c>
      <c r="J6" s="1"/>
      <c r="K6" s="1"/>
      <c r="L6" s="1"/>
      <c r="M6" s="1"/>
      <c r="N6" s="1"/>
      <c r="O6" s="1"/>
      <c r="P6" s="1"/>
      <c r="Q6" s="1"/>
      <c r="R6" s="1"/>
      <c r="S6" s="1"/>
      <c r="T6" s="1"/>
      <c r="U6" s="1"/>
      <c r="V6" s="1"/>
      <c r="W6" s="1"/>
      <c r="X6" s="1"/>
      <c r="Y6" s="1"/>
      <c r="Z6" s="1"/>
    </row>
    <row r="7" spans="1:26" ht="30" customHeight="1">
      <c r="A7" s="3" t="s">
        <v>1384</v>
      </c>
      <c r="B7" s="3">
        <v>5</v>
      </c>
      <c r="C7" s="3">
        <v>5</v>
      </c>
      <c r="D7" s="3">
        <v>5</v>
      </c>
      <c r="E7" s="3">
        <v>5</v>
      </c>
      <c r="F7" s="3">
        <f t="shared" si="0"/>
        <v>20</v>
      </c>
      <c r="G7" s="3" t="str">
        <f t="shared" si="1"/>
        <v>Manage Closely</v>
      </c>
      <c r="H7" s="3" t="str">
        <f t="shared" si="2"/>
        <v>Critical</v>
      </c>
      <c r="I7" s="3" t="s">
        <v>1527</v>
      </c>
      <c r="J7" s="1"/>
      <c r="K7" s="1"/>
      <c r="L7" s="1"/>
      <c r="M7" s="1"/>
      <c r="N7" s="1"/>
      <c r="O7" s="1"/>
      <c r="P7" s="1"/>
      <c r="Q7" s="1"/>
      <c r="R7" s="1"/>
      <c r="S7" s="1"/>
      <c r="T7" s="1"/>
      <c r="U7" s="1"/>
      <c r="V7" s="1"/>
      <c r="W7" s="1"/>
      <c r="X7" s="1"/>
      <c r="Y7" s="1"/>
      <c r="Z7" s="1"/>
    </row>
    <row r="8" spans="1:26" ht="30" customHeight="1">
      <c r="A8" s="3" t="s">
        <v>1528</v>
      </c>
      <c r="B8" s="3">
        <v>5</v>
      </c>
      <c r="C8" s="3">
        <v>5</v>
      </c>
      <c r="D8" s="3">
        <v>5</v>
      </c>
      <c r="E8" s="3">
        <v>5</v>
      </c>
      <c r="F8" s="3">
        <f t="shared" si="0"/>
        <v>20</v>
      </c>
      <c r="G8" s="3" t="str">
        <f t="shared" si="1"/>
        <v>Manage Closely</v>
      </c>
      <c r="H8" s="3" t="str">
        <f t="shared" si="2"/>
        <v>Critical</v>
      </c>
      <c r="I8" s="3" t="s">
        <v>1529</v>
      </c>
      <c r="J8" s="1"/>
      <c r="K8" s="1"/>
      <c r="L8" s="1"/>
      <c r="M8" s="1"/>
      <c r="N8" s="1"/>
      <c r="O8" s="1"/>
      <c r="P8" s="1"/>
      <c r="Q8" s="1"/>
      <c r="R8" s="1"/>
      <c r="S8" s="1"/>
      <c r="T8" s="1"/>
      <c r="U8" s="1"/>
      <c r="V8" s="1"/>
      <c r="W8" s="1"/>
      <c r="X8" s="1"/>
      <c r="Y8" s="1"/>
      <c r="Z8" s="1"/>
    </row>
    <row r="9" spans="1:26" ht="30" customHeight="1">
      <c r="A9" s="3" t="s">
        <v>1288</v>
      </c>
      <c r="B9" s="3">
        <v>5</v>
      </c>
      <c r="C9" s="3">
        <v>5</v>
      </c>
      <c r="D9" s="3">
        <v>5</v>
      </c>
      <c r="E9" s="3">
        <v>5</v>
      </c>
      <c r="F9" s="3">
        <f t="shared" si="0"/>
        <v>20</v>
      </c>
      <c r="G9" s="3" t="str">
        <f t="shared" si="1"/>
        <v>Manage Closely</v>
      </c>
      <c r="H9" s="3" t="str">
        <f t="shared" si="2"/>
        <v>Critical</v>
      </c>
      <c r="I9" s="3" t="s">
        <v>1530</v>
      </c>
      <c r="J9" s="1"/>
      <c r="K9" s="1"/>
      <c r="L9" s="1"/>
      <c r="M9" s="1"/>
      <c r="N9" s="1"/>
      <c r="O9" s="1"/>
      <c r="P9" s="1"/>
      <c r="Q9" s="1"/>
      <c r="R9" s="1"/>
      <c r="S9" s="1"/>
      <c r="T9" s="1"/>
      <c r="U9" s="1"/>
      <c r="V9" s="1"/>
      <c r="W9" s="1"/>
      <c r="X9" s="1"/>
      <c r="Y9" s="1"/>
      <c r="Z9" s="1"/>
    </row>
    <row r="10" spans="1:26" ht="30" customHeight="1">
      <c r="A10" s="3" t="s">
        <v>1416</v>
      </c>
      <c r="B10" s="3">
        <v>4</v>
      </c>
      <c r="C10" s="3">
        <v>4</v>
      </c>
      <c r="D10" s="3">
        <v>4</v>
      </c>
      <c r="E10" s="3">
        <v>5</v>
      </c>
      <c r="F10" s="3">
        <f t="shared" si="0"/>
        <v>17</v>
      </c>
      <c r="G10" s="3" t="str">
        <f t="shared" si="1"/>
        <v>Manage Closely</v>
      </c>
      <c r="H10" s="3" t="str">
        <f t="shared" si="2"/>
        <v>High</v>
      </c>
      <c r="I10" s="3" t="s">
        <v>1531</v>
      </c>
      <c r="J10" s="1"/>
      <c r="K10" s="1"/>
      <c r="L10" s="1"/>
      <c r="M10" s="1"/>
      <c r="N10" s="1"/>
      <c r="O10" s="1"/>
      <c r="P10" s="1"/>
      <c r="Q10" s="1"/>
      <c r="R10" s="1"/>
      <c r="S10" s="1"/>
      <c r="T10" s="1"/>
      <c r="U10" s="1"/>
      <c r="V10" s="1"/>
      <c r="W10" s="1"/>
      <c r="X10" s="1"/>
      <c r="Y10" s="1"/>
      <c r="Z10" s="1"/>
    </row>
    <row r="11" spans="1:26" ht="30" customHeight="1">
      <c r="A11" s="3" t="s">
        <v>273</v>
      </c>
      <c r="B11" s="3">
        <v>4</v>
      </c>
      <c r="C11" s="3">
        <v>5</v>
      </c>
      <c r="D11" s="3">
        <v>4</v>
      </c>
      <c r="E11" s="3">
        <v>5</v>
      </c>
      <c r="F11" s="3">
        <f t="shared" si="0"/>
        <v>18</v>
      </c>
      <c r="G11" s="3" t="str">
        <f t="shared" si="1"/>
        <v>Manage Closely</v>
      </c>
      <c r="H11" s="3" t="str">
        <f t="shared" si="2"/>
        <v>Critical</v>
      </c>
      <c r="I11" s="3" t="s">
        <v>1532</v>
      </c>
      <c r="J11" s="1"/>
      <c r="K11" s="1"/>
      <c r="L11" s="1"/>
      <c r="M11" s="1"/>
      <c r="N11" s="1"/>
      <c r="O11" s="1"/>
      <c r="P11" s="1"/>
      <c r="Q11" s="1"/>
      <c r="R11" s="1"/>
      <c r="S11" s="1"/>
      <c r="T11" s="1"/>
      <c r="U11" s="1"/>
      <c r="V11" s="1"/>
      <c r="W11" s="1"/>
      <c r="X11" s="1"/>
      <c r="Y11" s="1"/>
      <c r="Z11" s="1"/>
    </row>
    <row r="12" spans="1:26" ht="30" customHeight="1">
      <c r="A12" s="3" t="s">
        <v>136</v>
      </c>
      <c r="B12" s="3">
        <v>5</v>
      </c>
      <c r="C12" s="3">
        <v>4</v>
      </c>
      <c r="D12" s="3">
        <v>4</v>
      </c>
      <c r="E12" s="3">
        <v>5</v>
      </c>
      <c r="F12" s="3">
        <f t="shared" si="0"/>
        <v>18</v>
      </c>
      <c r="G12" s="3" t="str">
        <f t="shared" si="1"/>
        <v>Manage Closely</v>
      </c>
      <c r="H12" s="3" t="str">
        <f t="shared" si="2"/>
        <v>Critical</v>
      </c>
      <c r="I12" s="3" t="s">
        <v>1533</v>
      </c>
      <c r="J12" s="1"/>
      <c r="K12" s="1"/>
      <c r="L12" s="1"/>
      <c r="M12" s="1"/>
      <c r="N12" s="1"/>
      <c r="O12" s="1"/>
      <c r="P12" s="1"/>
      <c r="Q12" s="1"/>
      <c r="R12" s="1"/>
      <c r="S12" s="1"/>
      <c r="T12" s="1"/>
      <c r="U12" s="1"/>
      <c r="V12" s="1"/>
      <c r="W12" s="1"/>
      <c r="X12" s="1"/>
      <c r="Y12" s="1"/>
      <c r="Z12" s="1"/>
    </row>
    <row r="13" spans="1:26" ht="30" customHeight="1">
      <c r="A13" s="3" t="s">
        <v>285</v>
      </c>
      <c r="B13" s="3">
        <v>4</v>
      </c>
      <c r="C13" s="3">
        <v>4</v>
      </c>
      <c r="D13" s="3">
        <v>4</v>
      </c>
      <c r="E13" s="3">
        <v>4</v>
      </c>
      <c r="F13" s="3">
        <f t="shared" si="0"/>
        <v>16</v>
      </c>
      <c r="G13" s="3" t="str">
        <f t="shared" si="1"/>
        <v>Manage Closely</v>
      </c>
      <c r="H13" s="3" t="str">
        <f t="shared" si="2"/>
        <v>High</v>
      </c>
      <c r="I13" s="3" t="s">
        <v>1534</v>
      </c>
      <c r="J13" s="1"/>
      <c r="K13" s="1"/>
      <c r="L13" s="1"/>
      <c r="M13" s="1"/>
      <c r="N13" s="1"/>
      <c r="O13" s="1"/>
      <c r="P13" s="1"/>
      <c r="Q13" s="1"/>
      <c r="R13" s="1"/>
      <c r="S13" s="1"/>
      <c r="T13" s="1"/>
      <c r="U13" s="1"/>
      <c r="V13" s="1"/>
      <c r="W13" s="1"/>
      <c r="X13" s="1"/>
      <c r="Y13" s="1"/>
      <c r="Z13" s="1"/>
    </row>
    <row r="14" spans="1:26" ht="30" customHeight="1">
      <c r="A14" s="3" t="s">
        <v>148</v>
      </c>
      <c r="B14" s="3">
        <v>4</v>
      </c>
      <c r="C14" s="3">
        <v>3</v>
      </c>
      <c r="D14" s="3">
        <v>4</v>
      </c>
      <c r="E14" s="3">
        <v>5</v>
      </c>
      <c r="F14" s="3">
        <f t="shared" si="0"/>
        <v>16</v>
      </c>
      <c r="G14" s="3" t="str">
        <f t="shared" si="1"/>
        <v>Keep Satisfied</v>
      </c>
      <c r="H14" s="3" t="str">
        <f t="shared" si="2"/>
        <v>High</v>
      </c>
      <c r="I14" s="3" t="s">
        <v>1535</v>
      </c>
      <c r="J14" s="1"/>
      <c r="K14" s="1"/>
      <c r="L14" s="1"/>
      <c r="M14" s="1"/>
      <c r="N14" s="1"/>
      <c r="O14" s="1"/>
      <c r="P14" s="1"/>
      <c r="Q14" s="1"/>
      <c r="R14" s="1"/>
      <c r="S14" s="1"/>
      <c r="T14" s="1"/>
      <c r="U14" s="1"/>
      <c r="V14" s="1"/>
      <c r="W14" s="1"/>
      <c r="X14" s="1"/>
      <c r="Y14" s="1"/>
      <c r="Z14" s="1"/>
    </row>
    <row r="15" spans="1:26" ht="30" customHeight="1">
      <c r="A15" s="3" t="s">
        <v>297</v>
      </c>
      <c r="B15" s="3">
        <v>4</v>
      </c>
      <c r="C15" s="3">
        <v>3</v>
      </c>
      <c r="D15" s="3">
        <v>4</v>
      </c>
      <c r="E15" s="3">
        <v>4</v>
      </c>
      <c r="F15" s="3">
        <f t="shared" si="0"/>
        <v>15</v>
      </c>
      <c r="G15" s="3" t="str">
        <f t="shared" si="1"/>
        <v>Keep Satisfied</v>
      </c>
      <c r="H15" s="3" t="str">
        <f t="shared" si="2"/>
        <v>High</v>
      </c>
      <c r="I15" s="3" t="s">
        <v>1536</v>
      </c>
      <c r="J15" s="1"/>
      <c r="K15" s="1"/>
      <c r="L15" s="1"/>
      <c r="M15" s="1"/>
      <c r="N15" s="1"/>
      <c r="O15" s="1"/>
      <c r="P15" s="1"/>
      <c r="Q15" s="1"/>
      <c r="R15" s="1"/>
      <c r="S15" s="1"/>
      <c r="T15" s="1"/>
      <c r="U15" s="1"/>
      <c r="V15" s="1"/>
      <c r="W15" s="1"/>
      <c r="X15" s="1"/>
      <c r="Y15" s="1"/>
      <c r="Z15" s="1"/>
    </row>
    <row r="16" spans="1:26" ht="30" customHeight="1">
      <c r="A16" s="3" t="s">
        <v>175</v>
      </c>
      <c r="B16" s="3">
        <v>5</v>
      </c>
      <c r="C16" s="3">
        <v>3</v>
      </c>
      <c r="D16" s="3">
        <v>5</v>
      </c>
      <c r="E16" s="3">
        <v>5</v>
      </c>
      <c r="F16" s="3">
        <f t="shared" si="0"/>
        <v>18</v>
      </c>
      <c r="G16" s="3" t="str">
        <f t="shared" si="1"/>
        <v>Keep Satisfied</v>
      </c>
      <c r="H16" s="3" t="str">
        <f t="shared" si="2"/>
        <v>Critical</v>
      </c>
      <c r="I16" s="3" t="s">
        <v>1537</v>
      </c>
      <c r="J16" s="1"/>
      <c r="K16" s="1"/>
      <c r="L16" s="1"/>
      <c r="M16" s="1"/>
      <c r="N16" s="1"/>
      <c r="O16" s="1"/>
      <c r="P16" s="1"/>
      <c r="Q16" s="1"/>
      <c r="R16" s="1"/>
      <c r="S16" s="1"/>
      <c r="T16" s="1"/>
      <c r="U16" s="1"/>
      <c r="V16" s="1"/>
      <c r="W16" s="1"/>
      <c r="X16" s="1"/>
      <c r="Y16" s="1"/>
      <c r="Z16" s="1"/>
    </row>
    <row r="17" spans="1:26" ht="30" customHeight="1">
      <c r="A17" s="3" t="s">
        <v>187</v>
      </c>
      <c r="B17" s="3">
        <v>5</v>
      </c>
      <c r="C17" s="3">
        <v>3</v>
      </c>
      <c r="D17" s="3">
        <v>5</v>
      </c>
      <c r="E17" s="3">
        <v>5</v>
      </c>
      <c r="F17" s="3">
        <f t="shared" si="0"/>
        <v>18</v>
      </c>
      <c r="G17" s="3" t="str">
        <f t="shared" si="1"/>
        <v>Keep Satisfied</v>
      </c>
      <c r="H17" s="3" t="str">
        <f t="shared" si="2"/>
        <v>Critical</v>
      </c>
      <c r="I17" s="3" t="s">
        <v>1538</v>
      </c>
      <c r="J17" s="1"/>
      <c r="K17" s="1"/>
      <c r="L17" s="1"/>
      <c r="M17" s="1"/>
      <c r="N17" s="1"/>
      <c r="O17" s="1"/>
      <c r="P17" s="1"/>
      <c r="Q17" s="1"/>
      <c r="R17" s="1"/>
      <c r="S17" s="1"/>
      <c r="T17" s="1"/>
      <c r="U17" s="1"/>
      <c r="V17" s="1"/>
      <c r="W17" s="1"/>
      <c r="X17" s="1"/>
      <c r="Y17" s="1"/>
      <c r="Z17" s="1"/>
    </row>
    <row r="18" spans="1:26" ht="30" customHeight="1">
      <c r="A18" s="3" t="s">
        <v>1539</v>
      </c>
      <c r="B18" s="3">
        <v>3</v>
      </c>
      <c r="C18" s="3">
        <v>4</v>
      </c>
      <c r="D18" s="3">
        <v>4</v>
      </c>
      <c r="E18" s="3">
        <v>4</v>
      </c>
      <c r="F18" s="3">
        <f t="shared" si="0"/>
        <v>15</v>
      </c>
      <c r="G18" s="3" t="str">
        <f t="shared" si="1"/>
        <v>Keep Informed</v>
      </c>
      <c r="H18" s="3" t="str">
        <f t="shared" si="2"/>
        <v>High</v>
      </c>
      <c r="I18" s="3" t="s">
        <v>1540</v>
      </c>
      <c r="J18" s="1"/>
      <c r="K18" s="1"/>
      <c r="L18" s="1"/>
      <c r="M18" s="1"/>
      <c r="N18" s="1"/>
      <c r="O18" s="1"/>
      <c r="P18" s="1"/>
      <c r="Q18" s="1"/>
      <c r="R18" s="1"/>
      <c r="S18" s="1"/>
      <c r="T18" s="1"/>
      <c r="U18" s="1"/>
      <c r="V18" s="1"/>
      <c r="W18" s="1"/>
      <c r="X18" s="1"/>
      <c r="Y18" s="1"/>
      <c r="Z18" s="1"/>
    </row>
    <row r="19" spans="1:26" ht="30" customHeight="1">
      <c r="A19" s="3" t="s">
        <v>1541</v>
      </c>
      <c r="B19" s="3">
        <v>3</v>
      </c>
      <c r="C19" s="3">
        <v>3</v>
      </c>
      <c r="D19" s="3">
        <v>3</v>
      </c>
      <c r="E19" s="3">
        <v>3</v>
      </c>
      <c r="F19" s="3">
        <f t="shared" si="0"/>
        <v>12</v>
      </c>
      <c r="G19" s="3" t="str">
        <f t="shared" si="1"/>
        <v>Monitor</v>
      </c>
      <c r="H19" s="3" t="str">
        <f t="shared" si="2"/>
        <v>Medium</v>
      </c>
      <c r="I19" s="3" t="s">
        <v>1542</v>
      </c>
      <c r="J19" s="1"/>
      <c r="K19" s="1"/>
      <c r="L19" s="1"/>
      <c r="M19" s="1"/>
      <c r="N19" s="1"/>
      <c r="O19" s="1"/>
      <c r="P19" s="1"/>
      <c r="Q19" s="1"/>
      <c r="R19" s="1"/>
      <c r="S19" s="1"/>
      <c r="T19" s="1"/>
      <c r="U19" s="1"/>
      <c r="V19" s="1"/>
      <c r="W19" s="1"/>
      <c r="X19" s="1"/>
      <c r="Y19" s="1"/>
      <c r="Z19" s="1"/>
    </row>
    <row r="20" spans="1:26" ht="30" customHeight="1">
      <c r="A20" s="3" t="s">
        <v>1543</v>
      </c>
      <c r="B20" s="3">
        <v>3</v>
      </c>
      <c r="C20" s="3">
        <v>3</v>
      </c>
      <c r="D20" s="3">
        <v>3</v>
      </c>
      <c r="E20" s="3">
        <v>4</v>
      </c>
      <c r="F20" s="3">
        <f t="shared" si="0"/>
        <v>13</v>
      </c>
      <c r="G20" s="3" t="str">
        <f t="shared" si="1"/>
        <v>Monitor</v>
      </c>
      <c r="H20" s="3" t="str">
        <f t="shared" si="2"/>
        <v>Medium</v>
      </c>
      <c r="I20" s="3" t="s">
        <v>1544</v>
      </c>
      <c r="J20" s="1"/>
      <c r="K20" s="1"/>
      <c r="L20" s="1"/>
      <c r="M20" s="1"/>
      <c r="N20" s="1"/>
      <c r="O20" s="1"/>
      <c r="P20" s="1"/>
      <c r="Q20" s="1"/>
      <c r="R20" s="1"/>
      <c r="S20" s="1"/>
      <c r="T20" s="1"/>
      <c r="U20" s="1"/>
      <c r="V20" s="1"/>
      <c r="W20" s="1"/>
      <c r="X20" s="1"/>
      <c r="Y20" s="1"/>
      <c r="Z20" s="1"/>
    </row>
    <row r="21" spans="1:26" ht="30" customHeight="1">
      <c r="A21" s="3" t="s">
        <v>1545</v>
      </c>
      <c r="B21" s="3">
        <v>4</v>
      </c>
      <c r="C21" s="3">
        <v>2</v>
      </c>
      <c r="D21" s="3">
        <v>3</v>
      </c>
      <c r="E21" s="3">
        <v>4</v>
      </c>
      <c r="F21" s="3">
        <f t="shared" si="0"/>
        <v>13</v>
      </c>
      <c r="G21" s="3" t="str">
        <f t="shared" si="1"/>
        <v>Keep Satisfied</v>
      </c>
      <c r="H21" s="3" t="str">
        <f t="shared" si="2"/>
        <v>Medium</v>
      </c>
      <c r="I21" s="3" t="s">
        <v>1546</v>
      </c>
      <c r="J21" s="1"/>
      <c r="K21" s="1"/>
      <c r="L21" s="1"/>
      <c r="M21" s="1"/>
      <c r="N21" s="1"/>
      <c r="O21" s="1"/>
      <c r="P21" s="1"/>
      <c r="Q21" s="1"/>
      <c r="R21" s="1"/>
      <c r="S21" s="1"/>
      <c r="T21" s="1"/>
      <c r="U21" s="1"/>
      <c r="V21" s="1"/>
      <c r="W21" s="1"/>
      <c r="X21" s="1"/>
      <c r="Y21" s="1"/>
      <c r="Z21" s="1"/>
    </row>
    <row r="22" spans="1:26" ht="30" customHeight="1">
      <c r="A22" s="3" t="s">
        <v>1547</v>
      </c>
      <c r="B22" s="3">
        <v>4</v>
      </c>
      <c r="C22" s="3">
        <v>2</v>
      </c>
      <c r="D22" s="3">
        <v>3</v>
      </c>
      <c r="E22" s="3">
        <v>5</v>
      </c>
      <c r="F22" s="3">
        <f t="shared" si="0"/>
        <v>14</v>
      </c>
      <c r="G22" s="3" t="str">
        <f t="shared" si="1"/>
        <v>Keep Satisfied</v>
      </c>
      <c r="H22" s="3" t="str">
        <f t="shared" si="2"/>
        <v>High</v>
      </c>
      <c r="I22" s="3" t="s">
        <v>1548</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36" priority="1">
      <formula>H5="Critical"</formula>
    </cfRule>
    <cfRule type="expression" dxfId="35"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19" t="s">
        <v>1549</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1550</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1551</v>
      </c>
      <c r="B4" s="2" t="s">
        <v>1552</v>
      </c>
      <c r="C4" s="2" t="s">
        <v>330</v>
      </c>
      <c r="D4" s="2" t="s">
        <v>1553</v>
      </c>
      <c r="E4" s="2" t="s">
        <v>920</v>
      </c>
      <c r="F4" s="2" t="s">
        <v>1554</v>
      </c>
      <c r="G4" s="2" t="s">
        <v>1555</v>
      </c>
      <c r="H4" s="2" t="s">
        <v>236</v>
      </c>
      <c r="I4" s="2" t="s">
        <v>1556</v>
      </c>
      <c r="J4" s="1"/>
      <c r="K4" s="1"/>
      <c r="L4" s="1"/>
      <c r="M4" s="1"/>
      <c r="N4" s="1"/>
      <c r="O4" s="1"/>
      <c r="P4" s="1"/>
      <c r="Q4" s="1"/>
      <c r="R4" s="1"/>
      <c r="S4" s="1"/>
      <c r="T4" s="1"/>
      <c r="U4" s="1"/>
      <c r="V4" s="1"/>
      <c r="W4" s="1"/>
      <c r="X4" s="1"/>
      <c r="Y4" s="1"/>
      <c r="Z4" s="1"/>
    </row>
    <row r="5" spans="1:26" ht="30" customHeight="1">
      <c r="A5" s="3">
        <v>1</v>
      </c>
      <c r="B5" s="3" t="s">
        <v>1557</v>
      </c>
      <c r="C5" s="3" t="s">
        <v>246</v>
      </c>
      <c r="D5" s="4">
        <v>46217</v>
      </c>
      <c r="E5" s="3" t="s">
        <v>40</v>
      </c>
      <c r="F5" s="3" t="s">
        <v>1558</v>
      </c>
      <c r="G5" s="3" t="s">
        <v>1559</v>
      </c>
      <c r="H5" s="3" t="s">
        <v>68</v>
      </c>
      <c r="I5" s="3" t="s">
        <v>1560</v>
      </c>
      <c r="J5" s="1"/>
      <c r="K5" s="1"/>
      <c r="L5" s="1"/>
      <c r="M5" s="1"/>
      <c r="N5" s="1"/>
      <c r="O5" s="1"/>
      <c r="P5" s="1"/>
      <c r="Q5" s="1"/>
      <c r="R5" s="1"/>
      <c r="S5" s="1"/>
      <c r="T5" s="1"/>
      <c r="U5" s="1"/>
      <c r="V5" s="1"/>
      <c r="W5" s="1"/>
      <c r="X5" s="1"/>
      <c r="Y5" s="1"/>
      <c r="Z5" s="1"/>
    </row>
    <row r="6" spans="1:26" ht="30" customHeight="1">
      <c r="A6" s="3">
        <v>2</v>
      </c>
      <c r="B6" s="3" t="s">
        <v>1561</v>
      </c>
      <c r="C6" s="3" t="s">
        <v>1562</v>
      </c>
      <c r="D6" s="4">
        <v>46218</v>
      </c>
      <c r="E6" s="3" t="s">
        <v>1563</v>
      </c>
      <c r="F6" s="3" t="s">
        <v>1564</v>
      </c>
      <c r="G6" s="3" t="s">
        <v>1565</v>
      </c>
      <c r="H6" s="3" t="s">
        <v>160</v>
      </c>
      <c r="I6" s="3" t="s">
        <v>1566</v>
      </c>
      <c r="J6" s="1"/>
      <c r="K6" s="1"/>
      <c r="L6" s="1"/>
      <c r="M6" s="1"/>
      <c r="N6" s="1"/>
      <c r="O6" s="1"/>
      <c r="P6" s="1"/>
      <c r="Q6" s="1"/>
      <c r="R6" s="1"/>
      <c r="S6" s="1"/>
      <c r="T6" s="1"/>
      <c r="U6" s="1"/>
      <c r="V6" s="1"/>
      <c r="W6" s="1"/>
      <c r="X6" s="1"/>
      <c r="Y6" s="1"/>
      <c r="Z6" s="1"/>
    </row>
    <row r="7" spans="1:26" ht="30" customHeight="1">
      <c r="A7" s="3">
        <v>3</v>
      </c>
      <c r="B7" s="3" t="s">
        <v>1567</v>
      </c>
      <c r="C7" s="3" t="s">
        <v>1568</v>
      </c>
      <c r="D7" s="4">
        <v>46219</v>
      </c>
      <c r="E7" s="3" t="s">
        <v>1563</v>
      </c>
      <c r="F7" s="3" t="s">
        <v>1569</v>
      </c>
      <c r="G7" s="3" t="s">
        <v>1570</v>
      </c>
      <c r="H7" s="3" t="s">
        <v>160</v>
      </c>
      <c r="I7" s="3" t="s">
        <v>1571</v>
      </c>
      <c r="J7" s="1"/>
      <c r="K7" s="1"/>
      <c r="L7" s="1"/>
      <c r="M7" s="1"/>
      <c r="N7" s="1"/>
      <c r="O7" s="1"/>
      <c r="P7" s="1"/>
      <c r="Q7" s="1"/>
      <c r="R7" s="1"/>
      <c r="S7" s="1"/>
      <c r="T7" s="1"/>
      <c r="U7" s="1"/>
      <c r="V7" s="1"/>
      <c r="W7" s="1"/>
      <c r="X7" s="1"/>
      <c r="Y7" s="1"/>
      <c r="Z7" s="1"/>
    </row>
    <row r="8" spans="1:26" ht="30" customHeight="1">
      <c r="A8" s="3">
        <v>4</v>
      </c>
      <c r="B8" s="3" t="s">
        <v>1572</v>
      </c>
      <c r="C8" s="3" t="s">
        <v>246</v>
      </c>
      <c r="D8" s="4">
        <v>46220</v>
      </c>
      <c r="E8" s="3" t="s">
        <v>1573</v>
      </c>
      <c r="F8" s="3" t="s">
        <v>1574</v>
      </c>
      <c r="G8" s="3" t="s">
        <v>1575</v>
      </c>
      <c r="H8" s="3" t="s">
        <v>68</v>
      </c>
      <c r="I8" s="3" t="s">
        <v>1576</v>
      </c>
      <c r="J8" s="1"/>
      <c r="K8" s="1"/>
      <c r="L8" s="1"/>
      <c r="M8" s="1"/>
      <c r="N8" s="1"/>
      <c r="O8" s="1"/>
      <c r="P8" s="1"/>
      <c r="Q8" s="1"/>
      <c r="R8" s="1"/>
      <c r="S8" s="1"/>
      <c r="T8" s="1"/>
      <c r="U8" s="1"/>
      <c r="V8" s="1"/>
      <c r="W8" s="1"/>
      <c r="X8" s="1"/>
      <c r="Y8" s="1"/>
      <c r="Z8" s="1"/>
    </row>
    <row r="9" spans="1:26" ht="30" customHeight="1">
      <c r="A9" s="3">
        <v>5</v>
      </c>
      <c r="B9" s="3" t="s">
        <v>1577</v>
      </c>
      <c r="C9" s="3" t="s">
        <v>77</v>
      </c>
      <c r="D9" s="4">
        <v>46220</v>
      </c>
      <c r="E9" s="3" t="s">
        <v>1578</v>
      </c>
      <c r="F9" s="3" t="s">
        <v>1579</v>
      </c>
      <c r="G9" s="3" t="s">
        <v>1580</v>
      </c>
      <c r="H9" s="3" t="s">
        <v>68</v>
      </c>
      <c r="I9" s="3" t="s">
        <v>1581</v>
      </c>
      <c r="J9" s="1"/>
      <c r="K9" s="1"/>
      <c r="L9" s="1"/>
      <c r="M9" s="1"/>
      <c r="N9" s="1"/>
      <c r="O9" s="1"/>
      <c r="P9" s="1"/>
      <c r="Q9" s="1"/>
      <c r="R9" s="1"/>
      <c r="S9" s="1"/>
      <c r="T9" s="1"/>
      <c r="U9" s="1"/>
      <c r="V9" s="1"/>
      <c r="W9" s="1"/>
      <c r="X9" s="1"/>
      <c r="Y9" s="1"/>
      <c r="Z9" s="1"/>
    </row>
    <row r="10" spans="1:26" ht="30" customHeight="1">
      <c r="A10" s="3">
        <v>6</v>
      </c>
      <c r="B10" s="3" t="s">
        <v>1582</v>
      </c>
      <c r="C10" s="3" t="s">
        <v>1562</v>
      </c>
      <c r="D10" s="4">
        <v>46220</v>
      </c>
      <c r="E10" s="3" t="s">
        <v>1583</v>
      </c>
      <c r="F10" s="3" t="s">
        <v>1584</v>
      </c>
      <c r="G10" s="3" t="s">
        <v>1585</v>
      </c>
      <c r="H10" s="3" t="s">
        <v>1586</v>
      </c>
      <c r="I10" s="3" t="s">
        <v>1587</v>
      </c>
      <c r="J10" s="1"/>
      <c r="K10" s="1"/>
      <c r="L10" s="1"/>
      <c r="M10" s="1"/>
      <c r="N10" s="1"/>
      <c r="O10" s="1"/>
      <c r="P10" s="1"/>
      <c r="Q10" s="1"/>
      <c r="R10" s="1"/>
      <c r="S10" s="1"/>
      <c r="T10" s="1"/>
      <c r="U10" s="1"/>
      <c r="V10" s="1"/>
      <c r="W10" s="1"/>
      <c r="X10" s="1"/>
      <c r="Y10" s="1"/>
      <c r="Z10" s="1"/>
    </row>
    <row r="11" spans="1:26" ht="30" customHeight="1">
      <c r="A11" s="3">
        <v>7</v>
      </c>
      <c r="B11" s="3" t="s">
        <v>1588</v>
      </c>
      <c r="C11" s="3" t="s">
        <v>90</v>
      </c>
      <c r="D11" s="4">
        <v>46221</v>
      </c>
      <c r="E11" s="3" t="s">
        <v>1589</v>
      </c>
      <c r="F11" s="3" t="s">
        <v>1590</v>
      </c>
      <c r="G11" s="3" t="s">
        <v>1591</v>
      </c>
      <c r="H11" s="3" t="s">
        <v>95</v>
      </c>
      <c r="I11" s="3" t="s">
        <v>1592</v>
      </c>
      <c r="J11" s="1"/>
      <c r="K11" s="1"/>
      <c r="L11" s="1"/>
      <c r="M11" s="1"/>
      <c r="N11" s="1"/>
      <c r="O11" s="1"/>
      <c r="P11" s="1"/>
      <c r="Q11" s="1"/>
      <c r="R11" s="1"/>
      <c r="S11" s="1"/>
      <c r="T11" s="1"/>
      <c r="U11" s="1"/>
      <c r="V11" s="1"/>
      <c r="W11" s="1"/>
      <c r="X11" s="1"/>
      <c r="Y11" s="1"/>
      <c r="Z11" s="1"/>
    </row>
    <row r="12" spans="1:26" ht="30" customHeight="1">
      <c r="A12" s="3">
        <v>8</v>
      </c>
      <c r="B12" s="3" t="s">
        <v>1593</v>
      </c>
      <c r="C12" s="3" t="s">
        <v>450</v>
      </c>
      <c r="D12" s="4">
        <v>46222</v>
      </c>
      <c r="E12" s="3" t="s">
        <v>1594</v>
      </c>
      <c r="F12" s="3" t="s">
        <v>1595</v>
      </c>
      <c r="G12" s="3" t="s">
        <v>1596</v>
      </c>
      <c r="H12" s="3" t="s">
        <v>68</v>
      </c>
      <c r="I12" s="3" t="s">
        <v>1597</v>
      </c>
      <c r="J12" s="1"/>
      <c r="K12" s="1"/>
      <c r="L12" s="1"/>
      <c r="M12" s="1"/>
      <c r="N12" s="1"/>
      <c r="O12" s="1"/>
      <c r="P12" s="1"/>
      <c r="Q12" s="1"/>
      <c r="R12" s="1"/>
      <c r="S12" s="1"/>
      <c r="T12" s="1"/>
      <c r="U12" s="1"/>
      <c r="V12" s="1"/>
      <c r="W12" s="1"/>
      <c r="X12" s="1"/>
      <c r="Y12" s="1"/>
      <c r="Z12" s="1"/>
    </row>
    <row r="13" spans="1:26" ht="30" customHeight="1">
      <c r="A13" s="3">
        <v>9</v>
      </c>
      <c r="B13" s="3" t="s">
        <v>1598</v>
      </c>
      <c r="C13" s="3" t="s">
        <v>245</v>
      </c>
      <c r="D13" s="4">
        <v>46217</v>
      </c>
      <c r="E13" s="3" t="s">
        <v>40</v>
      </c>
      <c r="F13" s="3" t="s">
        <v>1599</v>
      </c>
      <c r="G13" s="3" t="s">
        <v>1600</v>
      </c>
      <c r="H13" s="3" t="s">
        <v>68</v>
      </c>
      <c r="I13" s="3" t="s">
        <v>1601</v>
      </c>
      <c r="J13" s="1"/>
      <c r="K13" s="1"/>
      <c r="L13" s="1"/>
      <c r="M13" s="1"/>
      <c r="N13" s="1"/>
      <c r="O13" s="1"/>
      <c r="P13" s="1"/>
      <c r="Q13" s="1"/>
      <c r="R13" s="1"/>
      <c r="S13" s="1"/>
      <c r="T13" s="1"/>
      <c r="U13" s="1"/>
      <c r="V13" s="1"/>
      <c r="W13" s="1"/>
      <c r="X13" s="1"/>
      <c r="Y13" s="1"/>
      <c r="Z13" s="1"/>
    </row>
    <row r="14" spans="1:26" ht="30" customHeight="1">
      <c r="A14" s="3">
        <v>10</v>
      </c>
      <c r="B14" s="3" t="s">
        <v>1602</v>
      </c>
      <c r="C14" s="3" t="s">
        <v>1603</v>
      </c>
      <c r="D14" s="4">
        <v>46223</v>
      </c>
      <c r="E14" s="3" t="s">
        <v>1604</v>
      </c>
      <c r="F14" s="3" t="s">
        <v>1605</v>
      </c>
      <c r="G14" s="3" t="s">
        <v>1606</v>
      </c>
      <c r="H14" s="3" t="s">
        <v>68</v>
      </c>
      <c r="I14" s="3" t="s">
        <v>1607</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34" priority="1">
      <formula>ISNUMBER(SEARCH("Delayed",H5))</formula>
    </cfRule>
    <cfRule type="expression" dxfId="33" priority="2">
      <formula>ISNUMBER(SEARCH("Escalated",H5))</formula>
    </cfRule>
    <cfRule type="expression" dxfId="32" priority="3">
      <formula>ISNUMBER(SEARCH("Completed",H5))</formula>
    </cfRule>
    <cfRule type="expression" dxfId="31" priority="4">
      <formula>ISNUMBER(SEARCH("Closed",H5))</formula>
    </cfRule>
    <cfRule type="expression" dxfId="30"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19" t="s">
        <v>1608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1609</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1610</v>
      </c>
      <c r="B4" s="2" t="s">
        <v>1586</v>
      </c>
      <c r="C4" s="2" t="s">
        <v>1611</v>
      </c>
      <c r="D4" s="2" t="s">
        <v>1612</v>
      </c>
      <c r="E4" s="2" t="s">
        <v>1613</v>
      </c>
      <c r="F4" s="2" t="s">
        <v>29</v>
      </c>
      <c r="G4" s="2" t="s">
        <v>1553</v>
      </c>
      <c r="H4" s="2" t="s">
        <v>236</v>
      </c>
      <c r="I4" s="2" t="s">
        <v>1614</v>
      </c>
      <c r="J4" s="1"/>
      <c r="K4" s="1"/>
      <c r="L4" s="1"/>
      <c r="M4" s="1"/>
      <c r="N4" s="1"/>
      <c r="O4" s="1"/>
      <c r="P4" s="1"/>
      <c r="Q4" s="1"/>
      <c r="R4" s="1"/>
      <c r="S4" s="1"/>
      <c r="T4" s="1"/>
      <c r="U4" s="1"/>
      <c r="V4" s="1"/>
      <c r="W4" s="1"/>
      <c r="X4" s="1"/>
      <c r="Y4" s="1"/>
      <c r="Z4" s="1"/>
    </row>
    <row r="5" spans="1:26" ht="30" customHeight="1">
      <c r="A5" s="3" t="s">
        <v>1615</v>
      </c>
      <c r="B5" s="3" t="s">
        <v>1616</v>
      </c>
      <c r="C5" s="3" t="s">
        <v>480</v>
      </c>
      <c r="D5" s="3" t="s">
        <v>1617</v>
      </c>
      <c r="E5" s="3" t="s">
        <v>1618</v>
      </c>
      <c r="F5" s="3" t="s">
        <v>45</v>
      </c>
      <c r="G5" s="4">
        <v>46217</v>
      </c>
      <c r="H5" s="3" t="s">
        <v>1586</v>
      </c>
      <c r="I5" s="3" t="s">
        <v>1619</v>
      </c>
      <c r="J5" s="1"/>
      <c r="K5" s="1"/>
      <c r="L5" s="1"/>
      <c r="M5" s="1"/>
      <c r="N5" s="1"/>
      <c r="O5" s="1"/>
      <c r="P5" s="1"/>
      <c r="Q5" s="1"/>
      <c r="R5" s="1"/>
      <c r="S5" s="1"/>
      <c r="T5" s="1"/>
      <c r="U5" s="1"/>
      <c r="V5" s="1"/>
      <c r="W5" s="1"/>
      <c r="X5" s="1"/>
      <c r="Y5" s="1"/>
      <c r="Z5" s="1"/>
    </row>
    <row r="6" spans="1:26" ht="30" customHeight="1">
      <c r="A6" s="3" t="s">
        <v>1620</v>
      </c>
      <c r="B6" s="3" t="s">
        <v>1621</v>
      </c>
      <c r="C6" s="3" t="s">
        <v>1622</v>
      </c>
      <c r="D6" s="3" t="s">
        <v>1623</v>
      </c>
      <c r="E6" s="3" t="s">
        <v>1624</v>
      </c>
      <c r="F6" s="3" t="s">
        <v>45</v>
      </c>
      <c r="G6" s="4">
        <v>46219</v>
      </c>
      <c r="H6" s="3" t="s">
        <v>1586</v>
      </c>
      <c r="I6" s="3" t="s">
        <v>1625</v>
      </c>
      <c r="J6" s="1"/>
      <c r="K6" s="1"/>
      <c r="L6" s="1"/>
      <c r="M6" s="1"/>
      <c r="N6" s="1"/>
      <c r="O6" s="1"/>
      <c r="P6" s="1"/>
      <c r="Q6" s="1"/>
      <c r="R6" s="1"/>
      <c r="S6" s="1"/>
      <c r="T6" s="1"/>
      <c r="U6" s="1"/>
      <c r="V6" s="1"/>
      <c r="W6" s="1"/>
      <c r="X6" s="1"/>
      <c r="Y6" s="1"/>
      <c r="Z6" s="1"/>
    </row>
    <row r="7" spans="1:26" ht="30" customHeight="1">
      <c r="A7" s="3" t="s">
        <v>1626</v>
      </c>
      <c r="B7" s="3" t="s">
        <v>1627</v>
      </c>
      <c r="C7" s="3" t="s">
        <v>1628</v>
      </c>
      <c r="D7" s="3" t="s">
        <v>1629</v>
      </c>
      <c r="E7" s="3" t="s">
        <v>1630</v>
      </c>
      <c r="F7" s="3" t="s">
        <v>45</v>
      </c>
      <c r="G7" s="4">
        <v>46223</v>
      </c>
      <c r="H7" s="3" t="s">
        <v>1586</v>
      </c>
      <c r="I7" s="3" t="s">
        <v>1631</v>
      </c>
      <c r="J7" s="1"/>
      <c r="K7" s="1"/>
      <c r="L7" s="1"/>
      <c r="M7" s="1"/>
      <c r="N7" s="1"/>
      <c r="O7" s="1"/>
      <c r="P7" s="1"/>
      <c r="Q7" s="1"/>
      <c r="R7" s="1"/>
      <c r="S7" s="1"/>
      <c r="T7" s="1"/>
      <c r="U7" s="1"/>
      <c r="V7" s="1"/>
      <c r="W7" s="1"/>
      <c r="X7" s="1"/>
      <c r="Y7" s="1"/>
      <c r="Z7" s="1"/>
    </row>
    <row r="8" spans="1:26" ht="30" customHeight="1">
      <c r="A8" s="3" t="s">
        <v>1632</v>
      </c>
      <c r="B8" s="3" t="s">
        <v>1633</v>
      </c>
      <c r="C8" s="3" t="s">
        <v>83</v>
      </c>
      <c r="D8" s="3" t="s">
        <v>1634</v>
      </c>
      <c r="E8" s="3" t="s">
        <v>1635</v>
      </c>
      <c r="F8" s="3" t="s">
        <v>45</v>
      </c>
      <c r="G8" s="4">
        <v>46225</v>
      </c>
      <c r="H8" s="3" t="s">
        <v>95</v>
      </c>
      <c r="I8" s="3" t="s">
        <v>1636</v>
      </c>
      <c r="J8" s="1"/>
      <c r="K8" s="1"/>
      <c r="L8" s="1"/>
      <c r="M8" s="1"/>
      <c r="N8" s="1"/>
      <c r="O8" s="1"/>
      <c r="P8" s="1"/>
      <c r="Q8" s="1"/>
      <c r="R8" s="1"/>
      <c r="S8" s="1"/>
      <c r="T8" s="1"/>
      <c r="U8" s="1"/>
      <c r="V8" s="1"/>
      <c r="W8" s="1"/>
      <c r="X8" s="1"/>
      <c r="Y8" s="1"/>
      <c r="Z8" s="1"/>
    </row>
    <row r="9" spans="1:26" ht="30" customHeight="1">
      <c r="A9" s="3" t="s">
        <v>1637</v>
      </c>
      <c r="B9" s="3" t="s">
        <v>1638</v>
      </c>
      <c r="C9" s="3" t="s">
        <v>1639</v>
      </c>
      <c r="D9" s="3" t="s">
        <v>1640</v>
      </c>
      <c r="E9" s="3" t="s">
        <v>1641</v>
      </c>
      <c r="F9" s="3" t="s">
        <v>45</v>
      </c>
      <c r="G9" s="4">
        <v>46225</v>
      </c>
      <c r="H9" s="3" t="s">
        <v>95</v>
      </c>
      <c r="I9" s="3" t="s">
        <v>1642</v>
      </c>
      <c r="J9" s="1"/>
      <c r="K9" s="1"/>
      <c r="L9" s="1"/>
      <c r="M9" s="1"/>
      <c r="N9" s="1"/>
      <c r="O9" s="1"/>
      <c r="P9" s="1"/>
      <c r="Q9" s="1"/>
      <c r="R9" s="1"/>
      <c r="S9" s="1"/>
      <c r="T9" s="1"/>
      <c r="U9" s="1"/>
      <c r="V9" s="1"/>
      <c r="W9" s="1"/>
      <c r="X9" s="1"/>
      <c r="Y9" s="1"/>
      <c r="Z9" s="1"/>
    </row>
    <row r="10" spans="1:26" ht="30" customHeight="1">
      <c r="A10" s="3" t="s">
        <v>1643</v>
      </c>
      <c r="B10" s="3" t="s">
        <v>1644</v>
      </c>
      <c r="C10" s="3" t="s">
        <v>83</v>
      </c>
      <c r="D10" s="3" t="s">
        <v>1645</v>
      </c>
      <c r="E10" s="3" t="s">
        <v>1635</v>
      </c>
      <c r="F10" s="3" t="s">
        <v>44</v>
      </c>
      <c r="G10" s="4">
        <v>46225</v>
      </c>
      <c r="H10" s="3" t="s">
        <v>95</v>
      </c>
      <c r="I10" s="3" t="s">
        <v>1646</v>
      </c>
      <c r="J10" s="1"/>
      <c r="K10" s="1"/>
      <c r="L10" s="1"/>
      <c r="M10" s="1"/>
      <c r="N10" s="1"/>
      <c r="O10" s="1"/>
      <c r="P10" s="1"/>
      <c r="Q10" s="1"/>
      <c r="R10" s="1"/>
      <c r="S10" s="1"/>
      <c r="T10" s="1"/>
      <c r="U10" s="1"/>
      <c r="V10" s="1"/>
      <c r="W10" s="1"/>
      <c r="X10" s="1"/>
      <c r="Y10" s="1"/>
      <c r="Z10" s="1"/>
    </row>
    <row r="11" spans="1:26" ht="30" customHeight="1">
      <c r="A11" s="3" t="s">
        <v>1647</v>
      </c>
      <c r="B11" s="3" t="s">
        <v>1648</v>
      </c>
      <c r="C11" s="3" t="s">
        <v>1649</v>
      </c>
      <c r="D11" s="3" t="s">
        <v>1650</v>
      </c>
      <c r="E11" s="3" t="s">
        <v>1630</v>
      </c>
      <c r="F11" s="3" t="s">
        <v>45</v>
      </c>
      <c r="G11" s="4">
        <v>46223</v>
      </c>
      <c r="H11" s="3" t="s">
        <v>95</v>
      </c>
      <c r="I11" s="3" t="s">
        <v>1651</v>
      </c>
      <c r="J11" s="1"/>
      <c r="K11" s="1"/>
      <c r="L11" s="1"/>
      <c r="M11" s="1"/>
      <c r="N11" s="1"/>
      <c r="O11" s="1"/>
      <c r="P11" s="1"/>
      <c r="Q11" s="1"/>
      <c r="R11" s="1"/>
      <c r="S11" s="1"/>
      <c r="T11" s="1"/>
      <c r="U11" s="1"/>
      <c r="V11" s="1"/>
      <c r="W11" s="1"/>
      <c r="X11" s="1"/>
      <c r="Y11" s="1"/>
      <c r="Z11" s="1"/>
    </row>
    <row r="12" spans="1:26" ht="30" customHeight="1">
      <c r="A12" s="3" t="s">
        <v>1652</v>
      </c>
      <c r="B12" s="3" t="s">
        <v>1653</v>
      </c>
      <c r="C12" s="3" t="s">
        <v>1654</v>
      </c>
      <c r="D12" s="3" t="s">
        <v>1655</v>
      </c>
      <c r="E12" s="3" t="s">
        <v>1656</v>
      </c>
      <c r="F12" s="3" t="s">
        <v>44</v>
      </c>
      <c r="G12" s="4">
        <v>46223</v>
      </c>
      <c r="H12" s="3" t="s">
        <v>1586</v>
      </c>
      <c r="I12" s="3" t="s">
        <v>1657</v>
      </c>
      <c r="J12" s="1"/>
      <c r="K12" s="1"/>
      <c r="L12" s="1"/>
      <c r="M12" s="1"/>
      <c r="N12" s="1"/>
      <c r="O12" s="1"/>
      <c r="P12" s="1"/>
      <c r="Q12" s="1"/>
      <c r="R12" s="1"/>
      <c r="S12" s="1"/>
      <c r="T12" s="1"/>
      <c r="U12" s="1"/>
      <c r="V12" s="1"/>
      <c r="W12" s="1"/>
      <c r="X12" s="1"/>
      <c r="Y12" s="1"/>
      <c r="Z12" s="1"/>
    </row>
    <row r="13" spans="1:26" ht="30" customHeight="1">
      <c r="A13" s="3" t="s">
        <v>1658</v>
      </c>
      <c r="B13" s="3" t="s">
        <v>1659</v>
      </c>
      <c r="C13" s="3" t="s">
        <v>1660</v>
      </c>
      <c r="D13" s="3" t="s">
        <v>1661</v>
      </c>
      <c r="E13" s="3" t="s">
        <v>1662</v>
      </c>
      <c r="F13" s="3" t="s">
        <v>45</v>
      </c>
      <c r="G13" s="4">
        <v>46230</v>
      </c>
      <c r="H13" s="3" t="s">
        <v>1586</v>
      </c>
      <c r="I13" s="3" t="s">
        <v>1663</v>
      </c>
      <c r="J13" s="1"/>
      <c r="K13" s="1"/>
      <c r="L13" s="1"/>
      <c r="M13" s="1"/>
      <c r="N13" s="1"/>
      <c r="O13" s="1"/>
      <c r="P13" s="1"/>
      <c r="Q13" s="1"/>
      <c r="R13" s="1"/>
      <c r="S13" s="1"/>
      <c r="T13" s="1"/>
      <c r="U13" s="1"/>
      <c r="V13" s="1"/>
      <c r="W13" s="1"/>
      <c r="X13" s="1"/>
      <c r="Y13" s="1"/>
      <c r="Z13" s="1"/>
    </row>
    <row r="14" spans="1:26" ht="30" customHeight="1">
      <c r="A14" s="3" t="s">
        <v>1664</v>
      </c>
      <c r="B14" s="3" t="s">
        <v>1665</v>
      </c>
      <c r="C14" s="3" t="s">
        <v>40</v>
      </c>
      <c r="D14" s="3" t="s">
        <v>1666</v>
      </c>
      <c r="E14" s="3" t="s">
        <v>1618</v>
      </c>
      <c r="F14" s="3" t="s">
        <v>44</v>
      </c>
      <c r="G14" s="4">
        <v>46223</v>
      </c>
      <c r="H14" s="3" t="s">
        <v>1586</v>
      </c>
      <c r="I14" s="3" t="s">
        <v>1667</v>
      </c>
      <c r="J14" s="1"/>
      <c r="K14" s="1"/>
      <c r="L14" s="1"/>
      <c r="M14" s="1"/>
      <c r="N14" s="1"/>
      <c r="O14" s="1"/>
      <c r="P14" s="1"/>
      <c r="Q14" s="1"/>
      <c r="R14" s="1"/>
      <c r="S14" s="1"/>
      <c r="T14" s="1"/>
      <c r="U14" s="1"/>
      <c r="V14" s="1"/>
      <c r="W14" s="1"/>
      <c r="X14" s="1"/>
      <c r="Y14" s="1"/>
      <c r="Z14" s="1"/>
    </row>
    <row r="15" spans="1:26" ht="30" customHeight="1">
      <c r="A15" s="3" t="s">
        <v>1668</v>
      </c>
      <c r="B15" s="3" t="s">
        <v>1669</v>
      </c>
      <c r="C15" s="3" t="s">
        <v>1670</v>
      </c>
      <c r="D15" s="3" t="s">
        <v>1671</v>
      </c>
      <c r="E15" s="3" t="s">
        <v>1630</v>
      </c>
      <c r="F15" s="3" t="s">
        <v>44</v>
      </c>
      <c r="G15" s="4">
        <v>46233</v>
      </c>
      <c r="H15" s="3" t="s">
        <v>95</v>
      </c>
      <c r="I15" s="3" t="s">
        <v>1672</v>
      </c>
      <c r="J15" s="1"/>
      <c r="K15" s="1"/>
      <c r="L15" s="1"/>
      <c r="M15" s="1"/>
      <c r="N15" s="1"/>
      <c r="O15" s="1"/>
      <c r="P15" s="1"/>
      <c r="Q15" s="1"/>
      <c r="R15" s="1"/>
      <c r="S15" s="1"/>
      <c r="T15" s="1"/>
      <c r="U15" s="1"/>
      <c r="V15" s="1"/>
      <c r="W15" s="1"/>
      <c r="X15" s="1"/>
      <c r="Y15" s="1"/>
      <c r="Z15" s="1"/>
    </row>
    <row r="16" spans="1:26" ht="30" customHeight="1">
      <c r="A16" s="3" t="s">
        <v>1673</v>
      </c>
      <c r="B16" s="3" t="s">
        <v>1674</v>
      </c>
      <c r="C16" s="3" t="s">
        <v>136</v>
      </c>
      <c r="D16" s="3" t="s">
        <v>1675</v>
      </c>
      <c r="E16" s="3" t="s">
        <v>1676</v>
      </c>
      <c r="F16" s="3" t="s">
        <v>44</v>
      </c>
      <c r="G16" s="4">
        <v>46233</v>
      </c>
      <c r="H16" s="3" t="s">
        <v>95</v>
      </c>
      <c r="I16" s="3" t="s">
        <v>1677</v>
      </c>
      <c r="J16" s="1"/>
      <c r="K16" s="1"/>
      <c r="L16" s="1"/>
      <c r="M16" s="1"/>
      <c r="N16" s="1"/>
      <c r="O16" s="1"/>
      <c r="P16" s="1"/>
      <c r="Q16" s="1"/>
      <c r="R16" s="1"/>
      <c r="S16" s="1"/>
      <c r="T16" s="1"/>
      <c r="U16" s="1"/>
      <c r="V16" s="1"/>
      <c r="W16" s="1"/>
      <c r="X16" s="1"/>
      <c r="Y16" s="1"/>
      <c r="Z16" s="1"/>
    </row>
    <row r="17" spans="1:26" ht="30" customHeight="1">
      <c r="A17" s="3" t="s">
        <v>1678</v>
      </c>
      <c r="B17" s="3" t="s">
        <v>1679</v>
      </c>
      <c r="C17" s="3" t="s">
        <v>1680</v>
      </c>
      <c r="D17" s="3" t="s">
        <v>1681</v>
      </c>
      <c r="E17" s="3" t="s">
        <v>1630</v>
      </c>
      <c r="F17" s="3" t="s">
        <v>45</v>
      </c>
      <c r="G17" s="4">
        <v>46239</v>
      </c>
      <c r="H17" s="3" t="s">
        <v>1586</v>
      </c>
      <c r="I17" s="3" t="s">
        <v>1682</v>
      </c>
      <c r="J17" s="1"/>
      <c r="K17" s="1"/>
      <c r="L17" s="1"/>
      <c r="M17" s="1"/>
      <c r="N17" s="1"/>
      <c r="O17" s="1"/>
      <c r="P17" s="1"/>
      <c r="Q17" s="1"/>
      <c r="R17" s="1"/>
      <c r="S17" s="1"/>
      <c r="T17" s="1"/>
      <c r="U17" s="1"/>
      <c r="V17" s="1"/>
      <c r="W17" s="1"/>
      <c r="X17" s="1"/>
      <c r="Y17" s="1"/>
      <c r="Z17" s="1"/>
    </row>
    <row r="18" spans="1:26" ht="30" customHeight="1">
      <c r="A18" s="3" t="s">
        <v>1683</v>
      </c>
      <c r="B18" s="3" t="s">
        <v>1684</v>
      </c>
      <c r="C18" s="3" t="s">
        <v>1416</v>
      </c>
      <c r="D18" s="3" t="s">
        <v>1685</v>
      </c>
      <c r="E18" s="3" t="s">
        <v>1686</v>
      </c>
      <c r="F18" s="3" t="s">
        <v>44</v>
      </c>
      <c r="G18" s="4">
        <v>46229</v>
      </c>
      <c r="H18" s="3" t="s">
        <v>1586</v>
      </c>
      <c r="I18" s="3" t="s">
        <v>1687</v>
      </c>
      <c r="J18" s="1"/>
      <c r="K18" s="1"/>
      <c r="L18" s="1"/>
      <c r="M18" s="1"/>
      <c r="N18" s="1"/>
      <c r="O18" s="1"/>
      <c r="P18" s="1"/>
      <c r="Q18" s="1"/>
      <c r="R18" s="1"/>
      <c r="S18" s="1"/>
      <c r="T18" s="1"/>
      <c r="U18" s="1"/>
      <c r="V18" s="1"/>
      <c r="W18" s="1"/>
      <c r="X18" s="1"/>
      <c r="Y18" s="1"/>
      <c r="Z18" s="1"/>
    </row>
    <row r="19" spans="1:26" ht="30" customHeight="1">
      <c r="A19" s="3" t="s">
        <v>1688</v>
      </c>
      <c r="B19" s="3" t="s">
        <v>1689</v>
      </c>
      <c r="C19" s="3" t="s">
        <v>273</v>
      </c>
      <c r="D19" s="3" t="s">
        <v>1690</v>
      </c>
      <c r="E19" s="3" t="s">
        <v>1686</v>
      </c>
      <c r="F19" s="3" t="s">
        <v>44</v>
      </c>
      <c r="G19" s="4">
        <v>46231</v>
      </c>
      <c r="H19" s="3" t="s">
        <v>95</v>
      </c>
      <c r="I19" s="3" t="s">
        <v>1691</v>
      </c>
      <c r="J19" s="1"/>
      <c r="K19" s="1"/>
      <c r="L19" s="1"/>
      <c r="M19" s="1"/>
      <c r="N19" s="1"/>
      <c r="O19" s="1"/>
      <c r="P19" s="1"/>
      <c r="Q19" s="1"/>
      <c r="R19" s="1"/>
      <c r="S19" s="1"/>
      <c r="T19" s="1"/>
      <c r="U19" s="1"/>
      <c r="V19" s="1"/>
      <c r="W19" s="1"/>
      <c r="X19" s="1"/>
      <c r="Y19" s="1"/>
      <c r="Z19" s="1"/>
    </row>
    <row r="20" spans="1:26" ht="30" customHeight="1">
      <c r="A20" s="3" t="s">
        <v>1692</v>
      </c>
      <c r="B20" s="3" t="s">
        <v>1693</v>
      </c>
      <c r="C20" s="3" t="s">
        <v>285</v>
      </c>
      <c r="D20" s="3" t="s">
        <v>1694</v>
      </c>
      <c r="E20" s="3" t="s">
        <v>1695</v>
      </c>
      <c r="F20" s="3" t="s">
        <v>44</v>
      </c>
      <c r="G20" s="4">
        <v>46237</v>
      </c>
      <c r="H20" s="3" t="s">
        <v>95</v>
      </c>
      <c r="I20" s="3" t="s">
        <v>1696</v>
      </c>
      <c r="J20" s="1"/>
      <c r="K20" s="1"/>
      <c r="L20" s="1"/>
      <c r="M20" s="1"/>
      <c r="N20" s="1"/>
      <c r="O20" s="1"/>
      <c r="P20" s="1"/>
      <c r="Q20" s="1"/>
      <c r="R20" s="1"/>
      <c r="S20" s="1"/>
      <c r="T20" s="1"/>
      <c r="U20" s="1"/>
      <c r="V20" s="1"/>
      <c r="W20" s="1"/>
      <c r="X20" s="1"/>
      <c r="Y20" s="1"/>
      <c r="Z20" s="1"/>
    </row>
    <row r="21" spans="1:26" ht="30" customHeight="1">
      <c r="A21" s="3" t="s">
        <v>1697</v>
      </c>
      <c r="B21" s="3" t="s">
        <v>1698</v>
      </c>
      <c r="C21" s="3" t="s">
        <v>175</v>
      </c>
      <c r="D21" s="3" t="s">
        <v>1699</v>
      </c>
      <c r="E21" s="3" t="s">
        <v>1700</v>
      </c>
      <c r="F21" s="3" t="s">
        <v>45</v>
      </c>
      <c r="G21" s="4">
        <v>46245</v>
      </c>
      <c r="H21" s="3" t="s">
        <v>95</v>
      </c>
      <c r="I21" s="3" t="s">
        <v>1701</v>
      </c>
      <c r="J21" s="1"/>
      <c r="K21" s="1"/>
      <c r="L21" s="1"/>
      <c r="M21" s="1"/>
      <c r="N21" s="1"/>
      <c r="O21" s="1"/>
      <c r="P21" s="1"/>
      <c r="Q21" s="1"/>
      <c r="R21" s="1"/>
      <c r="S21" s="1"/>
      <c r="T21" s="1"/>
      <c r="U21" s="1"/>
      <c r="V21" s="1"/>
      <c r="W21" s="1"/>
      <c r="X21" s="1"/>
      <c r="Y21" s="1"/>
      <c r="Z21" s="1"/>
    </row>
    <row r="22" spans="1:26" ht="30" customHeight="1">
      <c r="A22" s="3" t="s">
        <v>1702</v>
      </c>
      <c r="B22" s="3" t="s">
        <v>1703</v>
      </c>
      <c r="C22" s="3" t="s">
        <v>187</v>
      </c>
      <c r="D22" s="3" t="s">
        <v>1704</v>
      </c>
      <c r="E22" s="3" t="s">
        <v>1705</v>
      </c>
      <c r="F22" s="3" t="s">
        <v>45</v>
      </c>
      <c r="G22" s="4">
        <v>46245</v>
      </c>
      <c r="H22" s="3" t="s">
        <v>95</v>
      </c>
      <c r="I22" s="3" t="s">
        <v>1701</v>
      </c>
      <c r="J22" s="1"/>
      <c r="K22" s="1"/>
      <c r="L22" s="1"/>
      <c r="M22" s="1"/>
      <c r="N22" s="1"/>
      <c r="O22" s="1"/>
      <c r="P22" s="1"/>
      <c r="Q22" s="1"/>
      <c r="R22" s="1"/>
      <c r="S22" s="1"/>
      <c r="T22" s="1"/>
      <c r="U22" s="1"/>
      <c r="V22" s="1"/>
      <c r="W22" s="1"/>
      <c r="X22" s="1"/>
      <c r="Y22" s="1"/>
      <c r="Z22" s="1"/>
    </row>
    <row r="23" spans="1:26" ht="30" customHeight="1">
      <c r="A23" s="3" t="s">
        <v>1706</v>
      </c>
      <c r="B23" s="3" t="s">
        <v>1707</v>
      </c>
      <c r="C23" s="3" t="s">
        <v>1708</v>
      </c>
      <c r="D23" s="3" t="s">
        <v>1709</v>
      </c>
      <c r="E23" s="3" t="s">
        <v>1710</v>
      </c>
      <c r="F23" s="3" t="s">
        <v>45</v>
      </c>
      <c r="G23" s="4">
        <v>46227</v>
      </c>
      <c r="H23" s="3" t="s">
        <v>1586</v>
      </c>
      <c r="I23" s="3" t="s">
        <v>1711</v>
      </c>
      <c r="J23" s="1"/>
      <c r="K23" s="1"/>
      <c r="L23" s="1"/>
      <c r="M23" s="1"/>
      <c r="N23" s="1"/>
      <c r="O23" s="1"/>
      <c r="P23" s="1"/>
      <c r="Q23" s="1"/>
      <c r="R23" s="1"/>
      <c r="S23" s="1"/>
      <c r="T23" s="1"/>
      <c r="U23" s="1"/>
      <c r="V23" s="1"/>
      <c r="W23" s="1"/>
      <c r="X23" s="1"/>
      <c r="Y23" s="1"/>
      <c r="Z23" s="1"/>
    </row>
    <row r="24" spans="1:26" ht="30" customHeight="1">
      <c r="A24" s="3" t="s">
        <v>1712</v>
      </c>
      <c r="B24" s="3" t="s">
        <v>1713</v>
      </c>
      <c r="C24" s="3" t="s">
        <v>1714</v>
      </c>
      <c r="D24" s="3" t="s">
        <v>1715</v>
      </c>
      <c r="E24" s="3" t="s">
        <v>1716</v>
      </c>
      <c r="F24" s="3" t="s">
        <v>44</v>
      </c>
      <c r="G24" s="4">
        <v>46227</v>
      </c>
      <c r="H24" s="3" t="s">
        <v>1586</v>
      </c>
      <c r="I24" s="3" t="s">
        <v>1717</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29" priority="6">
      <formula>F5="Critical"</formula>
    </cfRule>
    <cfRule type="expression" dxfId="28" priority="7">
      <formula>F5="High"</formula>
    </cfRule>
  </conditionalFormatting>
  <conditionalFormatting sqref="H5:H24">
    <cfRule type="expression" dxfId="27" priority="1">
      <formula>ISNUMBER(SEARCH("Delayed",H5))</formula>
    </cfRule>
    <cfRule type="expression" dxfId="26" priority="2">
      <formula>ISNUMBER(SEARCH("Escalated",H5))</formula>
    </cfRule>
    <cfRule type="expression" dxfId="25" priority="3">
      <formula>ISNUMBER(SEARCH("Completed",H5))</formula>
    </cfRule>
    <cfRule type="expression" dxfId="24" priority="4">
      <formula>ISNUMBER(SEARCH("Closed",H5))</formula>
    </cfRule>
    <cfRule type="expression" dxfId="23"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19" t="s">
        <v>1718</v>
      </c>
      <c r="B1" s="219"/>
      <c r="C1" s="219"/>
      <c r="D1" s="219"/>
      <c r="E1" s="219"/>
      <c r="F1" s="219"/>
      <c r="G1" s="219"/>
      <c r="H1" s="219"/>
      <c r="I1" s="219"/>
      <c r="J1" s="219"/>
      <c r="K1" s="219"/>
      <c r="L1" s="219"/>
      <c r="M1" s="1"/>
      <c r="N1" s="1"/>
      <c r="O1" s="1"/>
      <c r="P1" s="1"/>
      <c r="Q1" s="1"/>
      <c r="R1" s="1"/>
      <c r="S1" s="1"/>
      <c r="T1" s="1"/>
      <c r="U1" s="1"/>
      <c r="V1" s="1"/>
      <c r="W1" s="1"/>
      <c r="X1" s="1"/>
      <c r="Y1" s="1"/>
      <c r="Z1" s="1"/>
    </row>
    <row r="2" spans="1:26" ht="36" customHeight="1">
      <c r="A2" s="220" t="s">
        <v>1719</v>
      </c>
      <c r="B2" s="220"/>
      <c r="C2" s="220"/>
      <c r="D2" s="220"/>
      <c r="E2" s="220"/>
      <c r="F2" s="220"/>
      <c r="G2" s="220"/>
      <c r="H2" s="220"/>
      <c r="I2" s="220"/>
      <c r="J2" s="220"/>
      <c r="K2" s="220"/>
      <c r="L2" s="220"/>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1720</v>
      </c>
      <c r="B4" s="2" t="s">
        <v>1721</v>
      </c>
      <c r="C4" s="2" t="s">
        <v>1722</v>
      </c>
      <c r="D4" s="2" t="s">
        <v>1723</v>
      </c>
      <c r="E4" s="1"/>
      <c r="F4" s="1"/>
      <c r="G4" s="1"/>
      <c r="H4" s="1"/>
      <c r="I4" s="1"/>
      <c r="J4" s="1"/>
      <c r="K4" s="1"/>
      <c r="L4" s="1"/>
      <c r="M4" s="1"/>
      <c r="N4" s="1"/>
      <c r="O4" s="1"/>
      <c r="P4" s="1"/>
      <c r="Q4" s="1"/>
      <c r="R4" s="1"/>
      <c r="S4" s="1"/>
      <c r="T4" s="1"/>
      <c r="U4" s="1"/>
      <c r="V4" s="1"/>
      <c r="W4" s="1"/>
      <c r="X4" s="1"/>
      <c r="Y4" s="1"/>
      <c r="Z4" s="1"/>
    </row>
    <row r="5" spans="1:26" ht="30" customHeight="1">
      <c r="A5" s="3" t="s">
        <v>1724</v>
      </c>
      <c r="B5" s="3" t="s">
        <v>1725</v>
      </c>
      <c r="C5" s="3" t="s">
        <v>1726</v>
      </c>
      <c r="D5" s="3" t="s">
        <v>1727</v>
      </c>
      <c r="E5" s="1"/>
      <c r="F5" s="1"/>
      <c r="G5" s="1"/>
      <c r="H5" s="1"/>
      <c r="I5" s="1"/>
      <c r="J5" s="1"/>
      <c r="K5" s="1"/>
      <c r="L5" s="1"/>
      <c r="M5" s="1"/>
      <c r="N5" s="1"/>
      <c r="O5" s="1"/>
      <c r="P5" s="1"/>
      <c r="Q5" s="1"/>
      <c r="R5" s="1"/>
      <c r="S5" s="1"/>
      <c r="T5" s="1"/>
      <c r="U5" s="1"/>
      <c r="V5" s="1"/>
      <c r="W5" s="1"/>
      <c r="X5" s="1"/>
      <c r="Y5" s="1"/>
      <c r="Z5" s="1"/>
    </row>
    <row r="6" spans="1:26" ht="30" customHeight="1">
      <c r="A6" s="3" t="s">
        <v>1728</v>
      </c>
      <c r="B6" s="3" t="s">
        <v>1729</v>
      </c>
      <c r="C6" s="3" t="s">
        <v>1730</v>
      </c>
      <c r="D6" s="3" t="s">
        <v>1731</v>
      </c>
      <c r="E6" s="1"/>
      <c r="F6" s="1"/>
      <c r="G6" s="1"/>
      <c r="H6" s="1"/>
      <c r="I6" s="1"/>
      <c r="J6" s="1"/>
      <c r="K6" s="1"/>
      <c r="L6" s="1"/>
      <c r="M6" s="1"/>
      <c r="N6" s="1"/>
      <c r="O6" s="1"/>
      <c r="P6" s="1"/>
      <c r="Q6" s="1"/>
      <c r="R6" s="1"/>
      <c r="S6" s="1"/>
      <c r="T6" s="1"/>
      <c r="U6" s="1"/>
      <c r="V6" s="1"/>
      <c r="W6" s="1"/>
      <c r="X6" s="1"/>
      <c r="Y6" s="1"/>
      <c r="Z6" s="1"/>
    </row>
    <row r="7" spans="1:26" ht="30" customHeight="1">
      <c r="A7" s="3" t="s">
        <v>1732</v>
      </c>
      <c r="B7" s="3" t="s">
        <v>1733</v>
      </c>
      <c r="C7" s="3" t="s">
        <v>1734</v>
      </c>
      <c r="D7" s="3" t="s">
        <v>1735</v>
      </c>
      <c r="E7" s="1"/>
      <c r="F7" s="1"/>
      <c r="G7" s="1"/>
      <c r="H7" s="1"/>
      <c r="I7" s="1"/>
      <c r="J7" s="1"/>
      <c r="K7" s="1"/>
      <c r="L7" s="1"/>
      <c r="M7" s="1"/>
      <c r="N7" s="1"/>
      <c r="O7" s="1"/>
      <c r="P7" s="1"/>
      <c r="Q7" s="1"/>
      <c r="R7" s="1"/>
      <c r="S7" s="1"/>
      <c r="T7" s="1"/>
      <c r="U7" s="1"/>
      <c r="V7" s="1"/>
      <c r="W7" s="1"/>
      <c r="X7" s="1"/>
      <c r="Y7" s="1"/>
      <c r="Z7" s="1"/>
    </row>
    <row r="8" spans="1:26" ht="30" customHeight="1">
      <c r="A8" s="3" t="s">
        <v>1736</v>
      </c>
      <c r="B8" s="3" t="s">
        <v>1737</v>
      </c>
      <c r="C8" s="3" t="s">
        <v>1738</v>
      </c>
      <c r="D8" s="3" t="s">
        <v>1739</v>
      </c>
      <c r="E8" s="1"/>
      <c r="F8" s="1"/>
      <c r="G8" s="1"/>
      <c r="H8" s="1"/>
      <c r="I8" s="1"/>
      <c r="J8" s="1"/>
      <c r="K8" s="1"/>
      <c r="L8" s="1"/>
      <c r="M8" s="1"/>
      <c r="N8" s="1"/>
      <c r="O8" s="1"/>
      <c r="P8" s="1"/>
      <c r="Q8" s="1"/>
      <c r="R8" s="1"/>
      <c r="S8" s="1"/>
      <c r="T8" s="1"/>
      <c r="U8" s="1"/>
      <c r="V8" s="1"/>
      <c r="W8" s="1"/>
      <c r="X8" s="1"/>
      <c r="Y8" s="1"/>
      <c r="Z8" s="1"/>
    </row>
    <row r="9" spans="1:26" ht="30" customHeight="1">
      <c r="A9" s="3" t="s">
        <v>1740</v>
      </c>
      <c r="B9" s="3" t="s">
        <v>1741</v>
      </c>
      <c r="C9" s="3" t="s">
        <v>1742</v>
      </c>
      <c r="D9" s="3" t="s">
        <v>1743</v>
      </c>
      <c r="E9" s="1"/>
      <c r="F9" s="1"/>
      <c r="G9" s="1"/>
      <c r="H9" s="1"/>
      <c r="I9" s="1"/>
      <c r="J9" s="1"/>
      <c r="K9" s="1"/>
      <c r="L9" s="1"/>
      <c r="M9" s="1"/>
      <c r="N9" s="1"/>
      <c r="O9" s="1"/>
      <c r="P9" s="1"/>
      <c r="Q9" s="1"/>
      <c r="R9" s="1"/>
      <c r="S9" s="1"/>
      <c r="T9" s="1"/>
      <c r="U9" s="1"/>
      <c r="V9" s="1"/>
      <c r="W9" s="1"/>
      <c r="X9" s="1"/>
      <c r="Y9" s="1"/>
      <c r="Z9" s="1"/>
    </row>
    <row r="10" spans="1:26" ht="30" customHeight="1">
      <c r="A10" s="3" t="s">
        <v>1744</v>
      </c>
      <c r="B10" s="3" t="s">
        <v>1745</v>
      </c>
      <c r="C10" s="3" t="s">
        <v>1746</v>
      </c>
      <c r="D10" s="3" t="s">
        <v>1747</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1748</v>
      </c>
      <c r="B11" s="3" t="s">
        <v>1749</v>
      </c>
      <c r="C11" s="3" t="s">
        <v>1750</v>
      </c>
      <c r="D11" s="3" t="s">
        <v>1751</v>
      </c>
      <c r="E11" s="1"/>
      <c r="F11" s="1"/>
      <c r="G11" s="1"/>
      <c r="H11" s="1"/>
      <c r="I11" s="1"/>
      <c r="J11" s="1"/>
      <c r="K11" s="1"/>
      <c r="L11" s="1"/>
      <c r="M11" s="1"/>
      <c r="N11" s="1"/>
      <c r="O11" s="1"/>
      <c r="P11" s="1"/>
      <c r="Q11" s="1"/>
      <c r="R11" s="1"/>
      <c r="S11" s="1"/>
      <c r="T11" s="1"/>
      <c r="U11" s="1"/>
      <c r="V11" s="1"/>
      <c r="W11" s="1"/>
      <c r="X11" s="1"/>
      <c r="Y11" s="1"/>
      <c r="Z11" s="1"/>
    </row>
    <row r="12" spans="1:26" ht="30" customHeight="1">
      <c r="A12" s="3" t="s">
        <v>1752</v>
      </c>
      <c r="B12" s="3" t="s">
        <v>1753</v>
      </c>
      <c r="C12" s="3" t="s">
        <v>1754</v>
      </c>
      <c r="D12" s="3" t="s">
        <v>1755</v>
      </c>
      <c r="E12" s="1"/>
      <c r="F12" s="1"/>
      <c r="G12" s="1"/>
      <c r="H12" s="1"/>
      <c r="I12" s="1"/>
      <c r="J12" s="1"/>
      <c r="K12" s="1"/>
      <c r="L12" s="1"/>
      <c r="M12" s="1"/>
      <c r="N12" s="1"/>
      <c r="O12" s="1"/>
      <c r="P12" s="1"/>
      <c r="Q12" s="1"/>
      <c r="R12" s="1"/>
      <c r="S12" s="1"/>
      <c r="T12" s="1"/>
      <c r="U12" s="1"/>
      <c r="V12" s="1"/>
      <c r="W12" s="1"/>
      <c r="X12" s="1"/>
      <c r="Y12" s="1"/>
      <c r="Z12" s="1"/>
    </row>
    <row r="13" spans="1:26" ht="30" customHeight="1">
      <c r="A13" s="3" t="s">
        <v>1756</v>
      </c>
      <c r="B13" s="3" t="s">
        <v>1757</v>
      </c>
      <c r="C13" s="3" t="s">
        <v>1758</v>
      </c>
      <c r="D13" s="3" t="s">
        <v>1759</v>
      </c>
      <c r="E13" s="1"/>
      <c r="F13" s="1"/>
      <c r="G13" s="1"/>
      <c r="H13" s="1"/>
      <c r="I13" s="1"/>
      <c r="J13" s="1"/>
      <c r="K13" s="1"/>
      <c r="L13" s="1"/>
      <c r="M13" s="1"/>
      <c r="N13" s="1"/>
      <c r="O13" s="1"/>
      <c r="P13" s="1"/>
      <c r="Q13" s="1"/>
      <c r="R13" s="1"/>
      <c r="S13" s="1"/>
      <c r="T13" s="1"/>
      <c r="U13" s="1"/>
      <c r="V13" s="1"/>
      <c r="W13" s="1"/>
      <c r="X13" s="1"/>
      <c r="Y13" s="1"/>
      <c r="Z13" s="1"/>
    </row>
    <row r="14" spans="1:26" ht="30" customHeight="1">
      <c r="A14" s="3" t="s">
        <v>1760</v>
      </c>
      <c r="B14" s="3" t="s">
        <v>1761</v>
      </c>
      <c r="C14" s="3" t="s">
        <v>1762</v>
      </c>
      <c r="D14" s="3" t="s">
        <v>1763</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1764</v>
      </c>
      <c r="B18" s="2" t="s">
        <v>1765</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1766</v>
      </c>
      <c r="B19" s="3" t="s">
        <v>1767</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1768</v>
      </c>
      <c r="B20" s="3" t="s">
        <v>1769</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1770</v>
      </c>
      <c r="B21" s="3" t="s">
        <v>1771</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1772</v>
      </c>
      <c r="B22" s="3" t="s">
        <v>1773</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998</v>
      </c>
      <c r="B1" s="18" t="s">
        <v>1774</v>
      </c>
      <c r="C1" s="18" t="s">
        <v>1775</v>
      </c>
    </row>
    <row r="2" spans="1:3" ht="28.5">
      <c r="A2" s="19" t="s">
        <v>1776</v>
      </c>
      <c r="B2" s="19" t="s">
        <v>1777</v>
      </c>
      <c r="C2" s="19" t="s">
        <v>1778</v>
      </c>
    </row>
    <row r="3" spans="1:3">
      <c r="A3" s="19" t="s">
        <v>1779</v>
      </c>
      <c r="B3" s="19" t="s">
        <v>1780</v>
      </c>
      <c r="C3" s="19" t="s">
        <v>1778</v>
      </c>
    </row>
    <row r="4" spans="1:3" ht="42.75">
      <c r="A4" s="19" t="s">
        <v>1779</v>
      </c>
      <c r="B4" s="19" t="s">
        <v>1781</v>
      </c>
      <c r="C4" s="19" t="s">
        <v>1778</v>
      </c>
    </row>
    <row r="5" spans="1:3" ht="28.5">
      <c r="A5" s="19" t="s">
        <v>1782</v>
      </c>
      <c r="B5" s="19" t="s">
        <v>1783</v>
      </c>
      <c r="C5" s="19" t="s">
        <v>1778</v>
      </c>
    </row>
    <row r="6" spans="1:3" ht="28.5">
      <c r="A6" s="19" t="s">
        <v>1782</v>
      </c>
      <c r="B6" s="19" t="s">
        <v>1784</v>
      </c>
      <c r="C6" s="19" t="s">
        <v>1778</v>
      </c>
    </row>
    <row r="7" spans="1:3" ht="28.5">
      <c r="A7" s="19" t="s">
        <v>1785</v>
      </c>
      <c r="B7" s="19" t="s">
        <v>1786</v>
      </c>
      <c r="C7" s="19" t="s">
        <v>1787</v>
      </c>
    </row>
    <row r="8" spans="1:3" ht="28.5">
      <c r="A8" s="19" t="s">
        <v>1007</v>
      </c>
      <c r="B8" s="19" t="s">
        <v>1788</v>
      </c>
      <c r="C8" s="19" t="s">
        <v>1787</v>
      </c>
    </row>
    <row r="9" spans="1:3" ht="28.5">
      <c r="A9" s="19" t="s">
        <v>1007</v>
      </c>
      <c r="B9" s="19" t="s">
        <v>1789</v>
      </c>
      <c r="C9" s="19" t="s">
        <v>1787</v>
      </c>
    </row>
    <row r="10" spans="1:3">
      <c r="A10" s="19" t="s">
        <v>97</v>
      </c>
      <c r="B10" s="19" t="s">
        <v>1790</v>
      </c>
      <c r="C10" s="19" t="s">
        <v>1787</v>
      </c>
    </row>
    <row r="11" spans="1:3">
      <c r="A11" s="19" t="s">
        <v>97</v>
      </c>
      <c r="B11" s="19" t="s">
        <v>1791</v>
      </c>
      <c r="C11" s="19" t="s">
        <v>1787</v>
      </c>
    </row>
    <row r="12" spans="1:3" ht="28.5">
      <c r="A12" s="19" t="s">
        <v>1312</v>
      </c>
      <c r="B12" s="19" t="s">
        <v>1792</v>
      </c>
      <c r="C12" s="19" t="s">
        <v>1787</v>
      </c>
    </row>
    <row r="13" spans="1:3" ht="28.5">
      <c r="A13" s="19" t="s">
        <v>1312</v>
      </c>
      <c r="B13" s="19" t="s">
        <v>1793</v>
      </c>
      <c r="C13" s="19" t="s">
        <v>1787</v>
      </c>
    </row>
    <row r="14" spans="1:3" ht="28.5">
      <c r="A14" s="19" t="s">
        <v>1312</v>
      </c>
      <c r="B14" s="19" t="s">
        <v>1794</v>
      </c>
      <c r="C14" s="19" t="s">
        <v>1787</v>
      </c>
    </row>
    <row r="15" spans="1:3" ht="28.5">
      <c r="A15" s="19" t="s">
        <v>1312</v>
      </c>
      <c r="B15" s="19" t="s">
        <v>1795</v>
      </c>
      <c r="C15" s="19" t="s">
        <v>1787</v>
      </c>
    </row>
    <row r="16" spans="1:3" ht="28.5">
      <c r="A16" s="19" t="s">
        <v>1312</v>
      </c>
      <c r="B16" s="19" t="s">
        <v>1796</v>
      </c>
      <c r="C16" s="19" t="s">
        <v>1787</v>
      </c>
    </row>
    <row r="17" spans="1:3" ht="28.5">
      <c r="A17" s="19" t="s">
        <v>56</v>
      </c>
      <c r="B17" s="19" t="s">
        <v>1797</v>
      </c>
      <c r="C17" s="19" t="s">
        <v>1787</v>
      </c>
    </row>
    <row r="18" spans="1:3" ht="28.5">
      <c r="A18" s="19" t="s">
        <v>1798</v>
      </c>
      <c r="B18" s="19" t="s">
        <v>1799</v>
      </c>
      <c r="C18" s="19" t="s">
        <v>1787</v>
      </c>
    </row>
    <row r="19" spans="1:3">
      <c r="A19" s="19" t="s">
        <v>1800</v>
      </c>
      <c r="B19" s="19" t="s">
        <v>1801</v>
      </c>
      <c r="C19" s="19" t="s">
        <v>1787</v>
      </c>
    </row>
    <row r="20" spans="1:3" ht="28.5">
      <c r="A20" s="19" t="s">
        <v>1800</v>
      </c>
      <c r="B20" s="19" t="s">
        <v>1802</v>
      </c>
      <c r="C20" s="19" t="s">
        <v>1787</v>
      </c>
    </row>
    <row r="21" spans="1:3" ht="28.5">
      <c r="A21" s="19" t="s">
        <v>1803</v>
      </c>
      <c r="B21" s="19" t="s">
        <v>1804</v>
      </c>
      <c r="C21" s="19" t="s">
        <v>1787</v>
      </c>
    </row>
    <row r="22" spans="1:3" ht="28.5">
      <c r="A22" s="19" t="s">
        <v>1803</v>
      </c>
      <c r="B22" s="19" t="s">
        <v>1805</v>
      </c>
      <c r="C22" s="19" t="s">
        <v>1787</v>
      </c>
    </row>
    <row r="23" spans="1:3" ht="28.5">
      <c r="A23" s="19" t="s">
        <v>1806</v>
      </c>
      <c r="B23" s="19" t="s">
        <v>1807</v>
      </c>
      <c r="C23" s="19" t="s">
        <v>1787</v>
      </c>
    </row>
    <row r="24" spans="1:3">
      <c r="A24" s="19" t="s">
        <v>1288</v>
      </c>
      <c r="B24" s="19" t="s">
        <v>1808</v>
      </c>
      <c r="C24" s="19" t="s">
        <v>1787</v>
      </c>
    </row>
    <row r="25" spans="1:3" ht="28.5">
      <c r="A25" s="19" t="s">
        <v>1288</v>
      </c>
      <c r="B25" s="19" t="s">
        <v>1809</v>
      </c>
      <c r="C25" s="19" t="s">
        <v>1787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9E98CBA-33D6-428A-8A96-0D81AE1C70B9}">
  <ds:schemaRefs>
    <ds:schemaRef ds:uri="http://schemas.microsoft.com/sharepoint/v3/contenttype/forms"/>
  </ds:schemaRefs>
</ds:datastoreItem>
</file>

<file path=customXml/itemProps2.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C09A18B-6C42-422B-8F84-52766E61A5AE}">
  <ds:schemaRefs>
    <ds:schemaRef ds:uri="http://schemas.openxmlformats.org/package/2006/metadata/core-properties"/>
    <ds:schemaRef ds:uri="c24c9a3d-6ee1-4dd5-8886-cb548e099c8c"/>
    <ds:schemaRef ds:uri="http://purl.org/dc/dcmitype/"/>
    <ds:schemaRef ds:uri="http://schemas.microsoft.com/office/2006/documentManagement/types"/>
    <ds:schemaRef ds:uri="http://schemas.microsoft.com/office/2006/metadata/properties"/>
    <ds:schemaRef ds:uri="http://schemas.microsoft.com/office/infopath/2007/PartnerControls"/>
    <ds:schemaRef ds:uri="http://www.w3.org/XML/1998/namespace"/>
    <ds:schemaRef ds:uri="6a49d4ba-c302-4ba3-be19-ec43ac51bc60"/>
    <ds:schemaRef ds:uri="http://purl.org/dc/terms/"/>
    <ds:schemaRef ds:uri="http://purl.org/dc/elements/1.1/"/>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Sheet2</vt:lpstr>
      <vt:lpstr>02_Engagement Strategy</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Bakheet, Molham</cp:lastModifiedBy>
  <cp:revision/>
  <dcterms:created xsi:type="dcterms:W3CDTF">2026-07-12T05:17:34Z</dcterms:created>
  <dcterms:modified xsi:type="dcterms:W3CDTF">2026-08-26T07:24:15Z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