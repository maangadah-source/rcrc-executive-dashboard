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sponline-my.sharepoint.com/personal/maan_gadah_wsp_com/Documents/Apps/Dashboard/RCRC/"/>
    </mc:Choice>
  </mc:AlternateContent>
  <xr:revisionPtr revIDLastSave="0" documentId="8_{ACBF3D03-6715-4FF3-8C61-8F5E963F5578}" xr6:coauthVersionLast="47" xr6:coauthVersionMax="47" xr10:uidLastSave="{00000000-0000-0000-0000-000000000000}"/>
  <bookViews>
    <workbookView xWindow="-120" yWindow="-120" windowWidth="29040" windowHeight="15720" firstSheet="11" activeTab="5" xr2:uid="{00000000-000D-0000-FFFF-FFFF00000000}"/>
  </bookViews>
  <sheets>
    <sheet name="01_Exec Summary" sheetId="1" r:id="rId1"/>
    <sheet name="02_Engagement Strategy" sheetId="2" r:id="rId2"/>
    <sheet name="Sheet2" sheetId="18" r:id="rId3"/>
    <sheet name="03_Schedule" sheetId="3" state="hidden" r:id="rId4"/>
    <sheet name="04_Meeting Agendasxxxxxxxxxxxxx" sheetId="4" state="hidden" r:id="rId5"/>
    <sheet name="03_Scheduling priority" sheetId="15" r:id="rId6"/>
    <sheet name="Sheet1" sheetId="16" state="hidden" r:id="rId7"/>
    <sheet name="04_Previous Tracker" sheetId="5" r:id="rId8"/>
    <sheet name="05_Risk Register" sheetId="6" r:id="rId9"/>
    <sheet name="06_Detailed Question Bank" sheetId="12" r:id="rId10"/>
    <sheet name="7New Questions Not Asked Before" sheetId="17" r:id="rId11"/>
    <sheet name="Follow up status" sheetId="19" r:id="rId12"/>
    <sheet name="07_Scenarios" sheetId="7" state="hidden" r:id="rId13"/>
    <sheet name="08_Prioritization" sheetId="8" state="hidden" r:id="rId14"/>
    <sheet name="09_Two-Week Plan" sheetId="9" state="hidden" r:id="rId15"/>
    <sheet name="10_Info Required" sheetId="10" state="hidden" r:id="rId16"/>
    <sheet name="11_Source Notes" sheetId="11" state="hidden" r:id="rId17"/>
    <sheet name="07_Data Requests" sheetId="13" state="hidden"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M15" i="15"/>
  <c r="L15" i="15"/>
  <c r="M14" i="15"/>
  <c r="L14" i="15"/>
  <c r="M13" i="15"/>
  <c r="L13" i="15"/>
  <c r="M12" i="15"/>
  <c r="L12" i="15"/>
  <c r="M11" i="15"/>
  <c r="L11" i="15"/>
  <c r="M10" i="15"/>
  <c r="L10" i="15"/>
  <c r="M9" i="15"/>
  <c r="L9" i="15"/>
  <c r="M8" i="15"/>
  <c r="L8" i="15"/>
  <c r="A5" i="15"/>
  <c r="M33" i="3"/>
  <c r="L33" i="3"/>
  <c r="M32" i="3"/>
  <c r="L32" i="3"/>
  <c r="M31" i="3"/>
  <c r="L31" i="3"/>
  <c r="M30" i="3"/>
  <c r="L30" i="3"/>
  <c r="M29" i="3"/>
  <c r="L29" i="3"/>
  <c r="M28" i="3"/>
  <c r="L28" i="3"/>
  <c r="M27" i="3"/>
  <c r="L27" i="3"/>
  <c r="M26" i="3"/>
  <c r="L26" i="3"/>
  <c r="M25" i="3"/>
  <c r="L25" i="3"/>
  <c r="M24" i="3"/>
  <c r="L24" i="3"/>
  <c r="A21" i="3"/>
  <c r="G22" i="8"/>
  <c r="F22" i="8"/>
  <c r="H22" i="8" s="1"/>
  <c r="G21" i="8"/>
  <c r="F21" i="8"/>
  <c r="H21" i="8" s="1"/>
  <c r="G20" i="8"/>
  <c r="F20" i="8"/>
  <c r="H20" i="8" s="1"/>
  <c r="G19" i="8"/>
  <c r="F19" i="8"/>
  <c r="H19" i="8" s="1"/>
  <c r="G18" i="8"/>
  <c r="F18" i="8"/>
  <c r="H18" i="8" s="1"/>
  <c r="G17" i="8"/>
  <c r="F17" i="8"/>
  <c r="H17" i="8" s="1"/>
  <c r="G16" i="8"/>
  <c r="F16" i="8"/>
  <c r="H16" i="8" s="1"/>
  <c r="G15" i="8"/>
  <c r="F15" i="8"/>
  <c r="H15" i="8" s="1"/>
  <c r="G14" i="8"/>
  <c r="F14" i="8"/>
  <c r="H14" i="8" s="1"/>
  <c r="G13" i="8"/>
  <c r="F13" i="8"/>
  <c r="H13" i="8" s="1"/>
  <c r="G12" i="8"/>
  <c r="F12" i="8"/>
  <c r="H12" i="8" s="1"/>
  <c r="G11" i="8"/>
  <c r="F11" i="8"/>
  <c r="H11" i="8" s="1"/>
  <c r="G10" i="8"/>
  <c r="F10" i="8"/>
  <c r="H10" i="8" s="1"/>
  <c r="G9" i="8"/>
  <c r="F9" i="8"/>
  <c r="H9" i="8" s="1"/>
  <c r="G8" i="8"/>
  <c r="F8" i="8"/>
  <c r="H8" i="8" s="1"/>
  <c r="G7" i="8"/>
  <c r="F7" i="8"/>
  <c r="H7" i="8" s="1"/>
  <c r="G6" i="8"/>
  <c r="F6" i="8"/>
  <c r="H6" i="8" s="1"/>
  <c r="G5" i="8"/>
  <c r="F5" i="8"/>
  <c r="H5" i="8" s="1"/>
  <c r="B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0" authorId="0" shapeId="0" xr:uid="{6FDBFC4A-C1C7-49A5-B754-FB952AD8D91A}">
      <text>
        <r>
          <rPr>
            <sz val="11"/>
            <color theme="1"/>
            <rFont val="Calibri"/>
            <family val="2"/>
            <scheme val="minor"/>
          </rPr>
          <t>Total meetings in tracker</t>
        </r>
      </text>
    </comment>
    <comment ref="F20" authorId="0" shapeId="0" xr:uid="{B3DDEC86-4EFD-4596-A02B-D987F14A7BC4}">
      <text>
        <r>
          <rPr>
            <sz val="11"/>
            <color theme="1"/>
            <rFont val="Calibri"/>
            <family val="2"/>
            <scheme val="minor"/>
          </rPr>
          <t>Primary Stage 3 meetings</t>
        </r>
      </text>
    </comment>
    <comment ref="N20" authorId="0" shapeId="0" xr:uid="{85560997-BB02-4C65-B594-EE6491009489}">
      <text>
        <r>
          <rPr>
            <sz val="11"/>
            <color theme="1"/>
            <rFont val="Calibri"/>
            <family val="2"/>
            <scheme val="minor"/>
          </rPr>
          <t>Meetings completed</t>
        </r>
      </text>
    </comment>
    <comment ref="J23" authorId="0" shapeId="0" xr:uid="{D5C441E9-3DA4-430B-A101-02F40B377CDF}">
      <text>
        <r>
          <rPr>
            <sz val="11"/>
            <color theme="1"/>
            <rFont val="Calibri"/>
            <family val="2"/>
            <scheme val="minor"/>
          </rPr>
          <t>User input: enter the confirmed meeting date. All working dates on the right update automatically.</t>
        </r>
      </text>
    </comment>
    <comment ref="N23" authorId="0" shapeId="0" xr:uid="{CEEDB3A5-0857-4FF1-97C8-0BBB1131C077}">
      <text>
        <r>
          <rPr>
            <sz val="11"/>
            <color theme="1"/>
            <rFont val="Calibri"/>
            <family val="2"/>
            <scheme val="minor"/>
          </rPr>
          <t>Track whether Lubna has formally requested / confirmed the meeting.</t>
        </r>
      </text>
    </comment>
    <comment ref="O23" authorId="0" shapeId="0" xr:uid="{6AC5BD27-D643-4EB8-9A3F-5984A290A532}">
      <text>
        <r>
          <rPr>
            <sz val="11"/>
            <color theme="1"/>
            <rFont val="Calibri"/>
            <family val="2"/>
            <scheme val="minor"/>
          </rPr>
          <t>Use the dropdown to track the live status of each meeting.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4" authorId="0" shapeId="0" xr:uid="{B597B71A-0D35-4767-839E-B54240831882}">
      <text>
        <r>
          <rPr>
            <sz val="11"/>
            <color theme="1"/>
            <rFont val="Calibri"/>
            <family val="2"/>
            <scheme val="minor"/>
          </rPr>
          <t>Total meetings in tracker</t>
        </r>
      </text>
    </comment>
    <comment ref="F4" authorId="0" shapeId="0" xr:uid="{78EC3E6A-C145-4757-A847-116D2BA96CA6}">
      <text>
        <r>
          <rPr>
            <sz val="11"/>
            <color theme="1"/>
            <rFont val="Calibri"/>
            <family val="2"/>
            <scheme val="minor"/>
          </rPr>
          <t>Primary Stage 3 meetings</t>
        </r>
      </text>
    </comment>
    <comment ref="N4" authorId="0" shapeId="0" xr:uid="{92A66169-18C3-4C9B-9739-2AD7ADBB9499}">
      <text>
        <r>
          <rPr>
            <sz val="11"/>
            <color theme="1"/>
            <rFont val="Calibri"/>
            <family val="2"/>
            <scheme val="minor"/>
          </rPr>
          <t>Meetings completed</t>
        </r>
      </text>
    </comment>
    <comment ref="J7" authorId="0" shapeId="0" xr:uid="{02BDD94F-5ABF-4E25-BBC2-CF192277EB14}">
      <text>
        <r>
          <rPr>
            <sz val="11"/>
            <color theme="1"/>
            <rFont val="Calibri"/>
            <family val="2"/>
            <scheme val="minor"/>
          </rPr>
          <t>User input: enter the confirmed meeting date. All working dates on the right update automatically.</t>
        </r>
      </text>
    </comment>
    <comment ref="N7" authorId="0" shapeId="0" xr:uid="{B87FC585-4678-4C9C-9A69-7246C71B4994}">
      <text>
        <r>
          <rPr>
            <sz val="11"/>
            <color theme="1"/>
            <rFont val="Calibri"/>
            <family val="2"/>
            <scheme val="minor"/>
          </rPr>
          <t>Track whether Lubna has formally requested / confirmed the meeting.</t>
        </r>
      </text>
    </comment>
    <comment ref="O7" authorId="0" shapeId="0" xr:uid="{2A16013F-522C-475A-A373-1B4F112DF58B}">
      <text>
        <r>
          <rPr>
            <sz val="11"/>
            <color theme="1"/>
            <rFont val="Calibri"/>
            <family val="2"/>
            <scheme val="minor"/>
          </rPr>
          <t>Use the dropdown to track the live status of each meeting.</t>
        </r>
      </text>
    </comment>
  </commentList>
</comments>
</file>

<file path=xl/sharedStrings.xml><?xml version="1.0" encoding="utf-8"?>
<sst xmlns="http://schemas.openxmlformats.org/spreadsheetml/2006/main" count="2933" uniqueCount="1860">
  <si>
    <t>Project East Grant - Stage 3-4 Stakeholder Engagement Plan</t>
  </si>
  <si>
    <t>Executive Topic</t>
  </si>
  <si>
    <t>Summary</t>
  </si>
  <si>
    <t>Plan Focus</t>
  </si>
  <si>
    <t>Data validation,  environmental inputs, infrastructure/dry and wet utility constraints, land/legal closure, and stakeholder action close-out.</t>
  </si>
  <si>
    <t>Highest Priority Stakeholders</t>
  </si>
  <si>
    <r>
      <rPr>
        <sz val="10"/>
        <color rgb="FFFF0000"/>
        <rFont val="Arial"/>
        <family val="2"/>
      </rPr>
      <t>RCRC</t>
    </r>
    <r>
      <rPr>
        <sz val="10"/>
        <rFont val="Arial"/>
        <family val="2"/>
      </rPr>
      <t xml:space="preserve">, Riyadh Plan Team, </t>
    </r>
    <r>
      <rPr>
        <sz val="10"/>
        <color rgb="FFFF0000"/>
        <rFont val="Arial"/>
        <family val="2"/>
      </rPr>
      <t>Ministry of Energy/SEC/Aramco</t>
    </r>
    <r>
      <rPr>
        <sz val="10"/>
        <rFont val="Arial"/>
        <family val="2"/>
      </rPr>
      <t>,</t>
    </r>
    <r>
      <rPr>
        <sz val="10"/>
        <color rgb="FFFF0000"/>
        <rFont val="Arial"/>
        <family val="2"/>
      </rPr>
      <t xml:space="preserve"> Riyadh Municipality</t>
    </r>
    <r>
      <rPr>
        <sz val="10"/>
        <rFont val="Arial"/>
        <family val="2"/>
      </rPr>
      <t xml:space="preserve">, </t>
    </r>
    <r>
      <rPr>
        <sz val="10"/>
        <color rgb="FFFF0000"/>
        <rFont val="Arial"/>
        <family val="2"/>
      </rPr>
      <t xml:space="preserve">MEWA(NWC; SWA), Authority, MOMAH, </t>
    </r>
    <r>
      <rPr>
        <sz val="10"/>
        <rFont val="Arial"/>
        <family val="2"/>
      </rPr>
      <t>SPGA/MOJ.</t>
    </r>
  </si>
  <si>
    <t>Main Delivery Risks</t>
  </si>
  <si>
    <r>
      <t>Delayed data, conflicting spatial data, pipeline constraints buffer, ownership/title deed gaps, and late Stakeholder reply</t>
    </r>
    <r>
      <rPr>
        <sz val="10"/>
        <color rgb="FFFF0000"/>
        <rFont val="Arial"/>
        <family val="2"/>
      </rPr>
      <t>.</t>
    </r>
  </si>
  <si>
    <t>Immediate Management Action</t>
  </si>
  <si>
    <t>Confirm focal points, update open MoM action status, and schedule first-wave for this stage meetings within two weeks.</t>
  </si>
  <si>
    <t>Exec Summary</t>
  </si>
  <si>
    <t>Formula / Result</t>
  </si>
  <si>
    <t>Total Strategy Stakeholders</t>
  </si>
  <si>
    <t>Critical Priority Stakeholders</t>
  </si>
  <si>
    <t xml:space="preserve">Critical Stakeholders Meeting </t>
  </si>
  <si>
    <t>Previous meetings</t>
  </si>
  <si>
    <t>Open Previous Actions</t>
  </si>
  <si>
    <t>Critical Risks</t>
  </si>
  <si>
    <t>Unanswered questions</t>
  </si>
  <si>
    <t>Stakeholder Engagement Strategy</t>
  </si>
  <si>
    <t>This sheet defines who to engage, why, what is required, how often to engage,</t>
  </si>
  <si>
    <t>Priority Rank</t>
  </si>
  <si>
    <t>Stakeholder / Cluster</t>
  </si>
  <si>
    <t>Specific Department / Counterpart</t>
  </si>
  <si>
    <t>Technical specialization</t>
  </si>
  <si>
    <t>Stage 3–4 Engagement Purpose</t>
  </si>
  <si>
    <t>Influence</t>
  </si>
  <si>
    <t>Interest</t>
  </si>
  <si>
    <t>Priority</t>
  </si>
  <si>
    <t>Engagement Objective</t>
  </si>
  <si>
    <t>Information / Decision Required</t>
  </si>
  <si>
    <t>Recommended Channel</t>
  </si>
  <si>
    <t>Project Owner</t>
  </si>
  <si>
    <t>Frequency</t>
  </si>
  <si>
    <t>Planned Contact Window</t>
  </si>
  <si>
    <t>Expected Output</t>
  </si>
  <si>
    <t>Escalation Route</t>
  </si>
  <si>
    <t>Current Status</t>
  </si>
  <si>
    <t>Source / Evidence</t>
  </si>
  <si>
    <t>RCRC</t>
  </si>
  <si>
    <t>Planning Advisor; Urban Programs &amp; Land Use; Mobility; Infrastructure &amp; Utilities; Sustainability; Legal; GIS</t>
  </si>
  <si>
    <t>Client / Approval Authority</t>
  </si>
  <si>
    <t>Confirm Stage 4 direction, priority stakeholder sequence, key decisions, and escalation route for unresolved Stage 2–3 items.</t>
  </si>
  <si>
    <t>High</t>
  </si>
  <si>
    <t>Critical</t>
  </si>
  <si>
    <t>Confirm Stage 4 structure plan direction, unresolved Stage 2-3 action closure, and approval route</t>
  </si>
  <si>
    <t>Decision on preferred direction, stakeholder sequence, and issue escalation ownership</t>
  </si>
  <si>
    <t>Weekly progress meeting + technical gates</t>
  </si>
  <si>
    <t>WSP PM / Stakeholder Lead</t>
  </si>
  <si>
    <t>Weekly</t>
  </si>
  <si>
    <t>Immediate and throughout Stage 4</t>
  </si>
  <si>
    <t>RCRC-endorsed engagement route and decision log</t>
  </si>
  <si>
    <t>WSP PM -&gt; RCRC PM -&gt; RCRC leadership</t>
  </si>
  <si>
    <t>In Progress</t>
  </si>
  <si>
    <t>SEMP; Riyadh Plan MoM; Stage 3 workshop</t>
  </si>
  <si>
    <t>Riyadh Plan Team</t>
  </si>
  <si>
    <t>RCRC / Riyadh Plan alignment team</t>
  </si>
  <si>
    <t>Strategic Planning</t>
  </si>
  <si>
    <t>Validate the Structure Plan direction against Riyadh Plan, including site role, centres hierarchy, transport logic, and key city-wide constraints.</t>
  </si>
  <si>
    <t>Validate the Stage 4 structure plan against Riyadh Plan direction</t>
  </si>
  <si>
    <t>Confirmation of site role, hierarchy of centres, transport logic and any constraints before finalizing structure plan</t>
  </si>
  <si>
    <t>Focused alignment workshop</t>
  </si>
  <si>
    <t>Urban Planning Lead</t>
  </si>
  <si>
    <t>At Stage 4 gates</t>
  </si>
  <si>
    <t>Before draft structure plan freeze</t>
  </si>
  <si>
    <t>Written alignment record and direction to incorporate</t>
  </si>
  <si>
    <t>RCRC Planning -&gt; RCRC leadership</t>
  </si>
  <si>
    <t>Planned</t>
  </si>
  <si>
    <t>Riyadh Plan Alignment MoM, 17-Feb-2026</t>
  </si>
  <si>
    <t>Ministry of Energy / SEC / National Grid / Saudi Aramco</t>
  </si>
  <si>
    <t>MoE energy planning; SEC/NG power; Aramco pipeline / Committee No. 85</t>
  </si>
  <si>
    <t>Dry Utilities / Strategic Infrastructure</t>
  </si>
  <si>
    <t>Review energy and pipeline assumptions, confirm buffers and exclusion zones, and provide feedback on power demand, cost estimates, and Committee No. 85 coordination.</t>
  </si>
  <si>
    <t>Share Stage 4 structure plan assumptions and obtain technical feedback on energy infrastructure</t>
  </si>
  <si>
    <t>Pipeline-affected land GIS, buffers, power demand inputs, cost-estimate review, Committee No. 85 coordination</t>
  </si>
  <si>
    <t>Arabic technical workshop + Excel question tracker</t>
  </si>
  <si>
    <t>Dry Utilities Lead</t>
  </si>
  <si>
    <t>Every 3 weeks / key gates</t>
  </si>
  <si>
    <t>Early Stage 4 and before cost inputs</t>
  </si>
  <si>
    <t>Confirmed energy constraints and dry utility follow-up list</t>
  </si>
  <si>
    <t>RCRC PM -&gt; MoE focal point -&gt; Committee No.85</t>
  </si>
  <si>
    <t>MoE MoM 11-May-2026; MoE 2nd MoM 07-Jul-2026</t>
  </si>
  <si>
    <t>Riyadh Municipality</t>
  </si>
  <si>
    <t>Planning &amp; Lands Departments</t>
  </si>
  <si>
    <t>Municipal  / Planning &amp; Lands</t>
  </si>
  <si>
    <t>align on  grants, and title lands context.</t>
  </si>
  <si>
    <t>Obtain and validate data required for Stage 4 hydrology model and flood buffers</t>
  </si>
  <si>
    <t>HEC-HMS/RAS files, reports, culvert data, spot levels, coordinate system confirmation</t>
  </si>
  <si>
    <t>Technical data workshop + formal RFI</t>
  </si>
  <si>
    <t>Hydrology Lead</t>
  </si>
  <si>
    <t>Bi-weekly until data closed</t>
  </si>
  <si>
    <t>Immediate</t>
  </si>
  <si>
    <t xml:space="preserve">Validated the data </t>
  </si>
  <si>
    <t>RCRC PM -&gt; Amanah Stormwater Director</t>
  </si>
  <si>
    <t>Open - verify status</t>
  </si>
  <si>
    <t>Stormwater MoM 18-Jun-2026</t>
  </si>
  <si>
    <t>MEWA</t>
  </si>
  <si>
    <t>Environment, Water, Agriculture; irrigation and environmental approvals as applicable</t>
  </si>
  <si>
    <t>Environment / Water</t>
  </si>
  <si>
    <t>Confirm environmental, water, irrigation, groundwater, and approval requirements affecting the Structure Plan and EIA.</t>
  </si>
  <si>
    <t>Medium</t>
  </si>
  <si>
    <t>Confirm environmental and water constraints affecting Stage 4 structure plan and EIA</t>
  </si>
  <si>
    <t>Environmental datasets, water resource constraints, irrigation networks, environmental approval requirements</t>
  </si>
  <si>
    <t>Technical workshop + formal correspondence</t>
  </si>
  <si>
    <t>Environment Lead</t>
  </si>
  <si>
    <t>Two Stage 4 checkpoints</t>
  </si>
  <si>
    <t>Early Stage 4</t>
  </si>
  <si>
    <t>EIA input register and environmental constraints map</t>
  </si>
  <si>
    <t>RCRC -&gt; MEWA nominated focal point</t>
  </si>
  <si>
    <t>SEMP stakeholder register; Baseline environment scope</t>
  </si>
  <si>
    <t>Imam Abdulaziz bin Mohammed Royal Reserve Authority</t>
  </si>
  <si>
    <t>Reserve planning, ecology, biodiversity, environmental integration</t>
  </si>
  <si>
    <t>Environment / Royal Reserve</t>
  </si>
  <si>
    <t>Validate ecological corridors, reserve interface, environmental continuity, watershed , and required buffers .</t>
  </si>
  <si>
    <t>Validate ecological corridors and reserve interface before Stage 4 plan finalisation</t>
  </si>
  <si>
    <t>Reserve boundary/buffer inputs, watershed implications, ecological constraints and queries response</t>
  </si>
  <si>
    <t>Focused environmental workshop</t>
  </si>
  <si>
    <t>One primary workshop + follow-up</t>
  </si>
  <si>
    <t>After draft environmental/wadi layers</t>
  </si>
  <si>
    <t>Agreed reserve interface principles</t>
  </si>
  <si>
    <t>RCRC -&gt; Reserve Authority focal point</t>
  </si>
  <si>
    <t>Royal Reserve MoM 04-May-2026</t>
  </si>
  <si>
    <t>Riyadh Infrastructure Projects Centre (RIPC)</t>
  </si>
  <si>
    <t>Infrastructure coordination and service provider strategy</t>
  </si>
  <si>
    <t>Infrastructure / Delivery</t>
  </si>
  <si>
    <t>Align infrastructure phasing, service provider coordination, funding mechanism, and delivery assumptions.</t>
  </si>
  <si>
    <t>Align Stage 4 infrastructure phasing with service provider strategies</t>
  </si>
  <si>
    <t>Masterplan strategy, KMZ verification, funding mechanism, service provider coverage</t>
  </si>
  <si>
    <t>Technical coordination workshop</t>
  </si>
  <si>
    <t>Infrastructure Lead</t>
  </si>
  <si>
    <t>At infrastructure phasing gates</t>
  </si>
  <si>
    <t>Early to mid Stage 4</t>
  </si>
  <si>
    <t>Infrastructure coordination plan and funding model inputs</t>
  </si>
  <si>
    <t>RCRC PM -&gt; RIPC focal point</t>
  </si>
  <si>
    <t>RIPC MoM 12-May-2026</t>
  </si>
  <si>
    <t>MOMAH</t>
  </si>
  <si>
    <t>Urban planning; housing; land use regulation</t>
  </si>
  <si>
    <t>National Planning / Housing</t>
  </si>
  <si>
    <t>priority stakeholder sequence, key decisions, and escalation route for unresolved Stage 2–3 items.</t>
  </si>
  <si>
    <t>Validate Stage 4 land-use assumptions and housing-related implications</t>
  </si>
  <si>
    <t>Ministry future plans, Plot No.2 confirmation, approved plan integration, compensation comments</t>
  </si>
  <si>
    <t>Formal alignment meeting</t>
  </si>
  <si>
    <t>Stage 4 land use checkpoints</t>
  </si>
  <si>
    <t>Before structure plan issue</t>
  </si>
  <si>
    <t>MOMAH comments register and action closure</t>
  </si>
  <si>
    <t>RCRC -&gt; MOMAH focal point</t>
  </si>
  <si>
    <t>MOMAH MoM 14-May-2026</t>
  </si>
  <si>
    <t>Ministry of Industry and Mineral Resources</t>
  </si>
  <si>
    <t>Mineral resources / industrial constraints</t>
  </si>
  <si>
    <t>Industry / Resources</t>
  </si>
  <si>
    <t>Confirm silica/sand reserve boundaries, industrial or mineral constraints, exclusion zones for developable land.</t>
  </si>
  <si>
    <t>Clarify mineral/industrial constraints and implications on land-use options</t>
  </si>
  <si>
    <t>Reserve boundaries, exclusion zones, policy positions, GIS data, future plans</t>
  </si>
  <si>
    <t>Targeted technical meeting</t>
  </si>
  <si>
    <t>Urban Planning / Environment Lead</t>
  </si>
  <si>
    <t>One meeting + data follow-up</t>
  </si>
  <si>
    <t>Urgent Stage 4</t>
  </si>
  <si>
    <t>MIMR constraint register and GIS layer request</t>
  </si>
  <si>
    <t>RCRC -&gt; Ministry focal point</t>
  </si>
  <si>
    <t>Not Started</t>
  </si>
  <si>
    <t>SEMP; RIPC MoM references silica reserves</t>
  </si>
  <si>
    <t>Ministry of Transport &amp; Logistics / RGA / TGA / SAR</t>
  </si>
  <si>
    <t>Roads, transport, logistics, rail and mobility interfaces</t>
  </si>
  <si>
    <t>Transport / Logistics</t>
  </si>
  <si>
    <t>Validate road, logistics, rail, public transport, ROW, and corridor assumptions affecting access and the Structure Plan.</t>
  </si>
  <si>
    <t>Confirm road/transport assumptions affecting the structure plan</t>
  </si>
  <si>
    <t>Planned road corridors, ROW, public transport, rail/logistics interfaces, mobility standards</t>
  </si>
  <si>
    <t>Transport technical workshop</t>
  </si>
  <si>
    <t>Transport Lead</t>
  </si>
  <si>
    <t>Two checkpoints</t>
  </si>
  <si>
    <t>Before movement network freeze</t>
  </si>
  <si>
    <t>Transport assumptions log and network alignment comments</t>
  </si>
  <si>
    <t>RCRC Mobility -&gt; MOTLS/RGA/SAR focal points</t>
  </si>
  <si>
    <t>SEMP stakeholder register; Baseline transport scope</t>
  </si>
  <si>
    <t>SPGA</t>
  </si>
  <si>
    <t>State-owned properties and land management</t>
  </si>
  <si>
    <t>Land Ownership</t>
  </si>
  <si>
    <t>Confirm state-owned land, land availability, affected parcels, and ownership constraints before.</t>
  </si>
  <si>
    <t>Close land ownership gaps before land consolidation and parcel reassignment decisions</t>
  </si>
  <si>
    <t>Ownership confirmation, land availability, state property constraints</t>
  </si>
  <si>
    <t>Formal correspondence + legal/land workshop</t>
  </si>
  <si>
    <t>Land / Legal Lead</t>
  </si>
  <si>
    <t>Weekly until major gaps closed</t>
  </si>
  <si>
    <t>Updated land ownership register</t>
  </si>
  <si>
    <t>RCRC Legal/Lands -&gt; SPGA</t>
  </si>
  <si>
    <t>SEMP; baseline land/ownership scope</t>
  </si>
  <si>
    <t>Ministry of Justice</t>
  </si>
  <si>
    <t>Title deeds, legal ownership verification</t>
  </si>
  <si>
    <t>Legal / Governance</t>
  </si>
  <si>
    <t>Confirm title deed data, legal ownership status,  Stage 4 parcel decisions.</t>
  </si>
  <si>
    <t>Confirm title deed and legal ownership data affecting Stage 4 parcel decisions</t>
  </si>
  <si>
    <t>Title deed data, legal status, disputed cases, ownership methodology</t>
  </si>
  <si>
    <t>Formal data request + legal workshop</t>
  </si>
  <si>
    <t>Legal Lead</t>
  </si>
  <si>
    <t>Weekly until data closed</t>
  </si>
  <si>
    <t>Legal ownership validation log</t>
  </si>
  <si>
    <t>RCRC Legal -&gt; MOJ focal point</t>
  </si>
  <si>
    <t>SEMP; MOMAH/Wadi MoMs</t>
  </si>
  <si>
    <t>Utilities Cluster - Wet Utilities</t>
  </si>
  <si>
    <t>NWC; SWA; SIO; RIPC where relevant</t>
  </si>
  <si>
    <t>Wet Utilities</t>
  </si>
  <si>
    <t>Validate potable water, sewage, TSE, irrigation network capacity, standards, cost assumptions, and phasing constraints.</t>
  </si>
  <si>
    <t>Validate wet utility demand assumptions and servicing strategy</t>
  </si>
  <si>
    <t>Network capacity, standards, cost unit rates, phasing constraints</t>
  </si>
  <si>
    <t>Joint technical workshop</t>
  </si>
  <si>
    <t>Wet Utilities Lead</t>
  </si>
  <si>
    <t>At utility demand gates</t>
  </si>
  <si>
    <t>Mid Stage 4</t>
  </si>
  <si>
    <t>Wet utility assumptions and data gaps log</t>
  </si>
  <si>
    <t>RCRC Infrastructure -&gt; utility focal points</t>
  </si>
  <si>
    <t>SEMP; Baseline utilities scope</t>
  </si>
  <si>
    <t xml:space="preserve">Ministry of Defense /Ministry of Interior </t>
  </si>
  <si>
    <t>Defense land / restricted areas</t>
  </si>
  <si>
    <t>Restricted Lands</t>
  </si>
  <si>
    <t>Confirm restricted land boundaries, no-development areas, and no-relocation assumptions affecting the Structure Plan.</t>
  </si>
  <si>
    <t>Low</t>
  </si>
  <si>
    <t>Validate defense land boundary and no-development assumptions</t>
  </si>
  <si>
    <t>MOD land boundary and restrictions</t>
  </si>
  <si>
    <t>Formal coordination through RCRC</t>
  </si>
  <si>
    <t>Legal / GIS Lead</t>
  </si>
  <si>
    <t>As required</t>
  </si>
  <si>
    <t>Before developable land freeze</t>
  </si>
  <si>
    <t>Validated no-go layer</t>
  </si>
  <si>
    <t>RCRC leadership channels</t>
  </si>
  <si>
    <t>Riyadh Plan MoM</t>
  </si>
  <si>
    <t>Biotic</t>
  </si>
  <si>
    <t>Economy and Technology</t>
  </si>
  <si>
    <t>low</t>
  </si>
  <si>
    <t xml:space="preserve">once if needed </t>
  </si>
  <si>
    <t>Proposed dates are sequenced from internal alignment to external technical validation and should be confirmed with RCRC/Lubna.</t>
  </si>
  <si>
    <t>No.</t>
  </si>
  <si>
    <t>Meeting Type</t>
  </si>
  <si>
    <t>Proposed Date</t>
  </si>
  <si>
    <t>Timing Gate</t>
  </si>
  <si>
    <t>Objective</t>
  </si>
  <si>
    <t>Inputs Required Before Meeting</t>
  </si>
  <si>
    <t>Expected Outputs</t>
  </si>
  <si>
    <t>Preparation Owner</t>
  </si>
  <si>
    <t>Follow-up Owner</t>
  </si>
  <si>
    <t>Status</t>
  </si>
  <si>
    <t>Action Closure Deadline</t>
  </si>
  <si>
    <t>Assumption / Dependency</t>
  </si>
  <si>
    <t>external RCRC</t>
  </si>
  <si>
    <t>Internal technical gate</t>
  </si>
  <si>
    <t>Before external Stage 4 outreach</t>
  </si>
  <si>
    <t>Agree stakeholder sequence, agenda packs and decision route</t>
  </si>
  <si>
    <t>Stage 3 outputs, preferred direction, open MoM tracker</t>
  </si>
  <si>
    <t>Approved engagement route and priority list</t>
  </si>
  <si>
    <t>WSP PM</t>
  </si>
  <si>
    <t>Stakeholder Lead</t>
  </si>
  <si>
    <t>Assumes RCRC availability after Stage 3 VP/SC direction</t>
  </si>
  <si>
    <t>Strategic alignment workshop</t>
  </si>
  <si>
    <t>Confirm city-wide alignment for Stage 4 structure plan</t>
  </si>
  <si>
    <t>Preferred strategy, centres/mobility assumptions, maps</t>
  </si>
  <si>
    <t>Confirmed alignment comments</t>
  </si>
  <si>
    <t>Dependent on internal RCRC gate</t>
  </si>
  <si>
    <t>Ministry of Energy / SEC / National Grid / Aramco</t>
  </si>
  <si>
    <t>Dry utilities / pipeline workshop</t>
  </si>
  <si>
    <t>Validate pipeline, power and cost review requirements</t>
  </si>
  <si>
    <t>Stage 3 structure outputs, GIS layers, demand assumptions</t>
  </si>
  <si>
    <t>Energy constraints log and cost-review route</t>
  </si>
  <si>
    <t>Committee No. 85 representatives to be included</t>
  </si>
  <si>
    <t>Riyadh Municipality - Stormwater + land Granted</t>
  </si>
  <si>
    <t>Joint hydrology / wadi workshop</t>
  </si>
  <si>
    <t>Before land-use freeze</t>
  </si>
  <si>
    <t>Close hydrology data gaps and agree wadi buffer approach</t>
  </si>
  <si>
    <t>Draft wadi layers, old study review, action tracker</t>
  </si>
  <si>
    <t>Hydrology data decision log and buffer principles</t>
  </si>
  <si>
    <t>Requires available Amanah data or clear data limitations</t>
  </si>
  <si>
    <t>MEWA / SIO / Environmental Centers</t>
  </si>
  <si>
    <t>Environmental and water constraints workshop</t>
  </si>
  <si>
    <t>Before EIA scoping freeze</t>
  </si>
  <si>
    <t>Confirm environmental and water constraints for Stage 4</t>
  </si>
  <si>
    <t>Environment baseline, wadi layers, protected areas map</t>
  </si>
  <si>
    <t>EIA input register</t>
  </si>
  <si>
    <t>MEWA focal point to be nominated</t>
  </si>
  <si>
    <t>Royal Reserve Authority</t>
  </si>
  <si>
    <t>Reserve interface workshop</t>
  </si>
  <si>
    <t>After wadi/environment layers</t>
  </si>
  <si>
    <t>Validate ecological corridors and reserve interface</t>
  </si>
  <si>
    <t>Draft ecological corridors, hydrology implications, queries tracker</t>
  </si>
  <si>
    <t>Reserve interface principles</t>
  </si>
  <si>
    <t>Linked to prior Royal Reserve action tracker</t>
  </si>
  <si>
    <t>Planning and housing alignment</t>
  </si>
  <si>
    <t>Confirm land-use and housing policy alignment</t>
  </si>
  <si>
    <t>Draft land-use plan, approved plan integration note</t>
  </si>
  <si>
    <t>MOMAH feedback log</t>
  </si>
  <si>
    <t>Plot No. 2 and future plans to be clarified</t>
  </si>
  <si>
    <t>RIPC</t>
  </si>
  <si>
    <t>Infrastructure phasing / delivery workshop</t>
  </si>
  <si>
    <t>Before infrastructure phasing freeze</t>
  </si>
  <si>
    <t>Align service provider strategy and funding model inputs</t>
  </si>
  <si>
    <t>KMZ, draft phasing, utility assumptions</t>
  </si>
  <si>
    <t>Infrastructure phasing inputs</t>
  </si>
  <si>
    <t>Depends on KMZ and service provider strategy availability</t>
  </si>
  <si>
    <t>Mineral / industrial constraints meeting</t>
  </si>
  <si>
    <t>Confirm mineral/industrial constraints including silica/sand reserves</t>
  </si>
  <si>
    <t>Draft constraints map, reserve boundary query, GIS request</t>
  </si>
  <si>
    <t>MIMR constraint confirmation / data request</t>
  </si>
  <si>
    <t>High priority due recent client request</t>
  </si>
  <si>
    <t>MOTLS / RGA / TGA / SAR</t>
  </si>
  <si>
    <t>Transport network workshop</t>
  </si>
  <si>
    <t>Validate transport corridors, ROW and logistics interfaces</t>
  </si>
  <si>
    <t>Draft movement plan, Riyadh Plan transport assumptions</t>
  </si>
  <si>
    <t>Network alignment comments</t>
  </si>
  <si>
    <t>Dependent on Riyadh Plan alignment</t>
  </si>
  <si>
    <t>SPGA + MOJ</t>
  </si>
  <si>
    <t>Land and legal data closure workshop</t>
  </si>
  <si>
    <t>Before parcel reassignment methodology</t>
  </si>
  <si>
    <t>Close ownership/title deed gaps and legal action items</t>
  </si>
  <si>
    <t>Parcel register, title deed gaps, affected land maps</t>
  </si>
  <si>
    <t>Validated legal/ownership gaps log</t>
  </si>
  <si>
    <t>Legal/Land Lead</t>
  </si>
  <si>
    <t>May need separate meetings if decision-makers differ</t>
  </si>
  <si>
    <t xml:space="preserve">PEG Stage 3 - 4Stakeholder Coordination plan </t>
  </si>
  <si>
    <t>Prepared for Lubna/Hind | Use this sheet to coordinate meeting requests, client review windows, and sequencing for Stage 3 stakeholder engagement.</t>
  </si>
  <si>
    <t xml:space="preserve">Note: preparing ppt for each stakeholder take 2 working days  and then send it to the client  before the meeting to reivew , 1 working day  for client review, then finalize and hold the meeting.( total 4 days) </t>
  </si>
  <si>
    <t>Total meetings in tracker</t>
  </si>
  <si>
    <t>Primary Stage 3 meetings</t>
  </si>
  <si>
    <t>Meetings completed In the past stages</t>
  </si>
  <si>
    <t>Seq</t>
  </si>
  <si>
    <t>Track</t>
  </si>
  <si>
    <t>Stakeholder</t>
  </si>
  <si>
    <t>Recommended Department / Team</t>
  </si>
  <si>
    <t>Responsibility Snapshot</t>
  </si>
  <si>
    <t>Stage 3 -4 Meeting Objective</t>
  </si>
  <si>
    <t>Key Output</t>
  </si>
  <si>
    <t>Proposed Week</t>
  </si>
  <si>
    <t>Meeting Date</t>
  </si>
  <si>
    <t>Draft to Client</t>
  </si>
  <si>
    <t>Final Deck</t>
  </si>
  <si>
    <t>MOM Due</t>
  </si>
  <si>
    <t>Lubna/Hind Request</t>
  </si>
  <si>
    <t>Owner</t>
  </si>
  <si>
    <t>Notes / Dependencies</t>
  </si>
  <si>
    <t>Supporting Coordination</t>
  </si>
  <si>
    <t>Riyadh Amanah</t>
  </si>
  <si>
    <t>Urban Planning</t>
  </si>
  <si>
    <t>Local planning authority for development history, zoning evolution, grants and title context</t>
  </si>
  <si>
    <t>Clarify site development history, key planning updates, and the status of the 12,000 granted parcels, including the 5,000 unallocated parcels.</t>
  </si>
  <si>
    <t>Planning history note and zoning clarifications</t>
  </si>
  <si>
    <t>Week1</t>
  </si>
  <si>
    <t>Not sent</t>
  </si>
  <si>
    <t>Draft</t>
  </si>
  <si>
    <t>Molham (WSP)</t>
  </si>
  <si>
    <t>High-value meeting; prepare maps and targeted questions</t>
  </si>
  <si>
    <t>Parallel Follow-up</t>
  </si>
  <si>
    <t>Ministry of Municipalities (Momah)</t>
  </si>
  <si>
    <t>Define planning rules, land uses, and development requirements.</t>
  </si>
  <si>
    <t>Align on planning requirements and approvals.Confirm allocation records and identify the required pathway for unresolved parcels</t>
  </si>
  <si>
    <t>MOMAH feedback and planning guidance.</t>
  </si>
  <si>
    <t>Week 1</t>
  </si>
  <si>
    <t>Not started</t>
  </si>
  <si>
    <t>Confirm planning approvals and land-use requirements.</t>
  </si>
  <si>
    <t>Ministry of Energy</t>
  </si>
  <si>
    <t>Energy policy / coordination counterpart</t>
  </si>
  <si>
    <t>Government counterpart for strategic energy assumptions and alignment across the energy ecosystem</t>
  </si>
  <si>
    <t>Confirm any strategic assumptions relevant to Project Eat Grant utilities planning and costing</t>
  </si>
  <si>
    <t>Energy policy assumptions log</t>
  </si>
  <si>
    <t>Week 2</t>
  </si>
  <si>
    <t>Keep focused on assumptions rather than detailed network design</t>
  </si>
  <si>
    <t>Saudi Energy (SE)</t>
  </si>
  <si>
    <t>Network / distribution counterpart</t>
  </si>
  <si>
    <t>Primary electricity service and distribution counterpart for supply assumptions and network planning</t>
  </si>
  <si>
    <t>Confirm latest electricity standards, available data and cost assumptions</t>
  </si>
  <si>
    <t>Validated SEC assumptions and inputs</t>
  </si>
  <si>
    <t>Coordinate with Ministry of Energy if strategic assumptions are needed</t>
  </si>
  <si>
    <t>Saudi Aramco</t>
  </si>
  <si>
    <t>Pipelines &amp; Assets</t>
  </si>
  <si>
    <t>Pipelines, corridors, and technical approvals</t>
  </si>
  <si>
    <t>Confirm anyReview pipeline constraints and protection requirements strategic assumptions relevant to Project Eat Grant utilities planning and costing</t>
  </si>
  <si>
    <t>Pipeline constraints and approval requirements</t>
  </si>
  <si>
    <t>Week2</t>
  </si>
  <si>
    <t>Priority meeting; key source for parcel and planning data.</t>
  </si>
  <si>
    <t>Saudi Electricity Regulatory Authority (SERA)</t>
  </si>
  <si>
    <t>Regulation &amp; Standards</t>
  </si>
  <si>
    <t>Electricity regulations and service standards</t>
  </si>
  <si>
    <t>Align on regulatory requirements and service standards</t>
  </si>
  <si>
    <t>Regulatory guidance and compliance requirements</t>
  </si>
  <si>
    <t>Validate regulatory and compliance requirements.</t>
  </si>
  <si>
    <t>Water / Environment counterpart</t>
  </si>
  <si>
    <t>National counterpart for water, environment and agriculture matters affecting hydrology, irrigation and environmental baselines</t>
  </si>
  <si>
    <t>Confirm latest technical data, assumptions and standards affecting Project Eat Grant</t>
  </si>
  <si>
    <t>Validated MEWA assumptions and data needs</t>
  </si>
  <si>
    <t>Coordinate with utilities cluster deck</t>
  </si>
  <si>
    <t>National Water Company (NWC)</t>
  </si>
  <si>
    <t>Water and wastewater services counterpart</t>
  </si>
  <si>
    <t>Operating counterpart for water supply, wastewater and service delivery assumptions</t>
  </si>
  <si>
    <t>Confirm latest water / wastewater data, standards and cost assumptions</t>
  </si>
  <si>
    <t>Validated NWC assumptions and inputs</t>
  </si>
  <si>
    <t>Useful before Stage 4 utilities consolidation</t>
  </si>
  <si>
    <t>Saudi Water Authority (SWA)</t>
  </si>
  <si>
    <t>Water Strategy &amp; Policy</t>
  </si>
  <si>
    <t>Water policies, resources, and infrastructure planning</t>
  </si>
  <si>
    <t>Align on strategic water planning assumptions</t>
  </si>
  <si>
    <t>Water policy and infrastructure guidance</t>
  </si>
  <si>
    <t>Saudi Irrigation Organization (SIO)</t>
  </si>
  <si>
    <t>Irrigation Planning</t>
  </si>
  <si>
    <t>Irrigation systems and water efficiency</t>
  </si>
  <si>
    <t>Review irrigation opportunities and water reuse potential</t>
  </si>
  <si>
    <t>Irrigation and water reuse recommendations</t>
  </si>
  <si>
    <t>Review irrigation and water reuse opportunities.</t>
  </si>
  <si>
    <t>Stakeholder-Specific Meeting Agendas</t>
  </si>
  <si>
    <t>Each agenda is linked to Project East Grant Stage 4 decisions and avoids generic discussion topics.</t>
  </si>
  <si>
    <t>Meeting ID</t>
  </si>
  <si>
    <t>Meeting Objective</t>
  </si>
  <si>
    <t>Project-Specific Background</t>
  </si>
  <si>
    <t>Agenda Item</t>
  </si>
  <si>
    <t>Discussion Focus / Questions</t>
  </si>
  <si>
    <t>Required Input or Decision</t>
  </si>
  <si>
    <t>Duration (min)</t>
  </si>
  <si>
    <t>Lead</t>
  </si>
  <si>
    <t>M01</t>
  </si>
  <si>
    <t>RCRC Stage 4 Gate</t>
  </si>
  <si>
    <t>Confirm the Stage 4 engagement route and technical decision process.</t>
  </si>
  <si>
    <t>Stage 4 will translate Stage 3 direction into structure plan, master plan, EIA and hydrology outputs.</t>
  </si>
  <si>
    <t>Stage 3 decision recap</t>
  </si>
  <si>
    <t>Confirm preferred direction and open issues from Stage 3</t>
  </si>
  <si>
    <t>Approved assumptions to carry into Stage 4</t>
  </si>
  <si>
    <t>Confirmed decision baseline</t>
  </si>
  <si>
    <t>Stakeholder priority review</t>
  </si>
  <si>
    <t>Agree which stakeholders require early Stage 4 meetings</t>
  </si>
  <si>
    <t>Confirmed priority list and sequencing</t>
  </si>
  <si>
    <t>Updated schedule</t>
  </si>
  <si>
    <t>Open actions review</t>
  </si>
  <si>
    <t>Review outstanding MoM actions from Stage 2-3</t>
  </si>
  <si>
    <t>Action owner and due date confirmation</t>
  </si>
  <si>
    <t>Action tracker baseline</t>
  </si>
  <si>
    <t>Escalation route</t>
  </si>
  <si>
    <t>Confirm how delayed data or conflicting positions will be escalated</t>
  </si>
  <si>
    <t>Escalation route and response timing</t>
  </si>
  <si>
    <t>Escalation protocol</t>
  </si>
  <si>
    <t>Next steps</t>
  </si>
  <si>
    <t>Confirm outgoing meeting requests and deck preparation responsibilities</t>
  </si>
  <si>
    <t>Approval to proceed</t>
  </si>
  <si>
    <t>Mobilization actions</t>
  </si>
  <si>
    <t>M02</t>
  </si>
  <si>
    <t>Validate Stage 4 structure plan direction against Riyadh Plan logic.</t>
  </si>
  <si>
    <t>Riyadh Plan alignment previously emphasized city role, centres hierarchy, transport logic and 20-50 year ambition.</t>
  </si>
  <si>
    <t>Site role within Riyadh</t>
  </si>
  <si>
    <t>Does the Stage 4 structure plan support the intended role of the Grant/Ruma area?</t>
  </si>
  <si>
    <t>Confirmation of site role and mission</t>
  </si>
  <si>
    <t>City-role decision note</t>
  </si>
  <si>
    <t>Centres and employment logic</t>
  </si>
  <si>
    <t>Confirm centre hierarchy, population and employment assumptions</t>
  </si>
  <si>
    <t>RP alignment comments</t>
  </si>
  <si>
    <t>Centres hierarchy inputs</t>
  </si>
  <si>
    <t>Transport framework</t>
  </si>
  <si>
    <t>Review transport corridors and network hierarchy against RP inputs</t>
  </si>
  <si>
    <t>Transport assumptions endorsed or corrected</t>
  </si>
  <si>
    <t>No-go and restricted lands</t>
  </si>
  <si>
    <t>Confirm mapping of MOD, MOI, reserves, buffers and no-go zones</t>
  </si>
  <si>
    <t>Validated constraints map</t>
  </si>
  <si>
    <t>GIS Lead</t>
  </si>
  <si>
    <t>Updated GIS action list</t>
  </si>
  <si>
    <t>Action closure</t>
  </si>
  <si>
    <t>Agree follow-up information and timing</t>
  </si>
  <si>
    <t>Agreed actions</t>
  </si>
  <si>
    <t>MoM + action tracker</t>
  </si>
  <si>
    <t>M03</t>
  </si>
  <si>
    <t>Validate Stage 4 energy, pipeline and dry utility constraints.</t>
  </si>
  <si>
    <t>Previous MoE meetings identified pipeline protection, Committee No.85 coordination, cost estimate review and power demand requirements.</t>
  </si>
  <si>
    <t>Stage 4 structure plan overview</t>
  </si>
  <si>
    <t>Present structure plan assumptions, phasing and affected lands</t>
  </si>
  <si>
    <t>Confirmation of review scope</t>
  </si>
  <si>
    <t>Meeting scope agreed</t>
  </si>
  <si>
    <t>Pipeline corridors and buffers</t>
  </si>
  <si>
    <t>Confirm pipeline alignment, affected title deeds and restricted uses</t>
  </si>
  <si>
    <t>Pipeline-affected GIS requirements</t>
  </si>
  <si>
    <t>Pipeline constraint log</t>
  </si>
  <si>
    <t>Power demand and grid planning</t>
  </si>
  <si>
    <t>Review demand assumptions, substations, grid reinforcement and overhead line constraints</t>
  </si>
  <si>
    <t>Demand information required / feedback route</t>
  </si>
  <si>
    <t>Electrical Lead</t>
  </si>
  <si>
    <t>Power demand action list</t>
  </si>
  <si>
    <t>Infrastructure cost estimate process</t>
  </si>
  <si>
    <t>Agree how MoE/SEC will review preliminary cost estimates</t>
  </si>
  <si>
    <t>Cost review protocol</t>
  </si>
  <si>
    <t>Cost / Utilities Lead</t>
  </si>
  <si>
    <t>Cost review pathway</t>
  </si>
  <si>
    <t>Committee No.85 coordination</t>
  </si>
  <si>
    <t>Confirm participation of RCRC Committee No.85 representatives</t>
  </si>
  <si>
    <t>Named participants and cadence</t>
  </si>
  <si>
    <t>RCRC / WSP PM</t>
  </si>
  <si>
    <t>Coordination route</t>
  </si>
  <si>
    <t>Agree three-week cadence and submission package</t>
  </si>
  <si>
    <t>Submission package checklist</t>
  </si>
  <si>
    <t>MoM + actions</t>
  </si>
  <si>
    <t>M04</t>
  </si>
  <si>
    <t>Riyadh Municipality - Stormwater + Wadi Al-Sulai</t>
  </si>
  <si>
    <t>Close hydrology data gaps and validate wadi buffer approach for Stage 4.</t>
  </si>
  <si>
    <t>Previous meetings confirmed old Amanah hydrology data is not sufficient for final decisions and wadi buffers are case-by-case.</t>
  </si>
  <si>
    <t>Hydrology baseline status</t>
  </si>
  <si>
    <t>Present current modelling assumptions and limitations</t>
  </si>
  <si>
    <t>Agreement on data limitations</t>
  </si>
  <si>
    <t>Baseline limitation note</t>
  </si>
  <si>
    <t>HEC-HMS/RAS and survey data</t>
  </si>
  <si>
    <t>Confirm availability, coordinate system and delivery route</t>
  </si>
  <si>
    <t>Data handover or confirmation of non-availability</t>
  </si>
  <si>
    <t>Data register update</t>
  </si>
  <si>
    <t>Wadi buffer principles</t>
  </si>
  <si>
    <t>Review dynamic buffer approach based on hydrology, landscape and ecology</t>
  </si>
  <si>
    <t>Buffer principles for Stage 4</t>
  </si>
  <si>
    <t>Urban Design / Hydrology Lead</t>
  </si>
  <si>
    <t>Buffer decision note</t>
  </si>
  <si>
    <t>Affected parcels and governance</t>
  </si>
  <si>
    <t>Discuss impacts on approved/unapproved subdivisions and compensation interface</t>
  </si>
  <si>
    <t>Land treatment inputs</t>
  </si>
  <si>
    <t>Parcel impact actions</t>
  </si>
  <si>
    <t>Agree data validation and model update timeline</t>
  </si>
  <si>
    <t>Closed action tracker</t>
  </si>
  <si>
    <t>MoM + action list</t>
  </si>
  <si>
    <t>M05</t>
  </si>
  <si>
    <t>Confirm environmental and water constraints needed for Stage 4 EIA and structure plan.</t>
  </si>
  <si>
    <t>Stage 4 includes environmental impact and hydrology outputs; MEWA/SIO inputs are needed for environmental and water constraints.</t>
  </si>
  <si>
    <t>Project and Stage 4 scope</t>
  </si>
  <si>
    <t>Present structure plan, EIA and hydrology tasks</t>
  </si>
  <si>
    <t>MEWA review scope confirmed</t>
  </si>
  <si>
    <t>Scope alignment</t>
  </si>
  <si>
    <t>Environmental constraints</t>
  </si>
  <si>
    <t>Confirm any protected habitats, vegetation, sensitive areas or environmental requirements</t>
  </si>
  <si>
    <t>Environmental input register</t>
  </si>
  <si>
    <t>Constraints list</t>
  </si>
  <si>
    <t>Water and irrigation interfaces</t>
  </si>
  <si>
    <t>Discuss groundwater, irrigation networks, water resource constraints and reuse opportunities</t>
  </si>
  <si>
    <t>Water-related requirements</t>
  </si>
  <si>
    <t>Water action list</t>
  </si>
  <si>
    <t>Approval and permitting route</t>
  </si>
  <si>
    <t>Clarify any NCEC/MEWA requirements for EIA or future development</t>
  </si>
  <si>
    <t>Approval process note</t>
  </si>
  <si>
    <t>Permitting pathway</t>
  </si>
  <si>
    <t>Data requests</t>
  </si>
  <si>
    <t>Agree datasets and response dates</t>
  </si>
  <si>
    <t>Formal RFI list</t>
  </si>
  <si>
    <t>RFI tracker</t>
  </si>
  <si>
    <t>M06</t>
  </si>
  <si>
    <t>Validate reserve interface, ecological corridors and watershed implications.</t>
  </si>
  <si>
    <t>The previous meeting highlighted ecological continuity, watershed implications and the need for collaborative technical validation.</t>
  </si>
  <si>
    <t>Recap of previous actions</t>
  </si>
  <si>
    <t>Confirm status of Excel queries and data received</t>
  </si>
  <si>
    <t>Action closure status</t>
  </si>
  <si>
    <t>Updated tracker</t>
  </si>
  <si>
    <t>Reserve interface</t>
  </si>
  <si>
    <t>Review draft ecological corridors and buffers</t>
  </si>
  <si>
    <t>Reserve comments</t>
  </si>
  <si>
    <t>Ecological corridor notes</t>
  </si>
  <si>
    <t>Watershed and hydrology</t>
  </si>
  <si>
    <t>Discuss watershed impacts and potential downstream/reserve implications</t>
  </si>
  <si>
    <t>Hydrology considerations</t>
  </si>
  <si>
    <t>Hydrology interface actions</t>
  </si>
  <si>
    <t>Development scenarios</t>
  </si>
  <si>
    <t>Review whether structure plan options create reserve-interface risks</t>
  </si>
  <si>
    <t>Feedback on preferred direction</t>
  </si>
  <si>
    <t>Scenario comments</t>
  </si>
  <si>
    <t>Agree technical validation process</t>
  </si>
  <si>
    <t>Follow-up actions</t>
  </si>
  <si>
    <t>MoM</t>
  </si>
  <si>
    <t>M07</t>
  </si>
  <si>
    <t>Align Stage 4 structure plan with planning/housing policy and approved plans.</t>
  </si>
  <si>
    <t>The previous MOMAH meeting raised land ownership, building status, compensation, approved plan integration and Plot No.2.</t>
  </si>
  <si>
    <t>Stage 4 land-use direction</t>
  </si>
  <si>
    <t>Present draft structure plan assumptions</t>
  </si>
  <si>
    <t>Planning policy feedback</t>
  </si>
  <si>
    <t>Land-use comments</t>
  </si>
  <si>
    <t>Housing and Plot No.2</t>
  </si>
  <si>
    <t>Confirm any housing-sector plans or ownership implications</t>
  </si>
  <si>
    <t>Confirmation / information required</t>
  </si>
  <si>
    <t>Housing note</t>
  </si>
  <si>
    <t>Approved plans integration</t>
  </si>
  <si>
    <t>Discuss how approved plans are considered and where exceptions apply</t>
  </si>
  <si>
    <t>Integration principles</t>
  </si>
  <si>
    <t>Approved plan treatment note</t>
  </si>
  <si>
    <t>Compensation and building status</t>
  </si>
  <si>
    <t>Clarify ministry expectations on affected plots and licensing issues</t>
  </si>
  <si>
    <t>Input on compensation approach</t>
  </si>
  <si>
    <t>Compensation comments</t>
  </si>
  <si>
    <t>Agree materials for internal ministry review</t>
  </si>
  <si>
    <t>Action closure dates</t>
  </si>
  <si>
    <t>M08</t>
  </si>
  <si>
    <t>Align infrastructure phasing, service provider coordination and funding model inputs.</t>
  </si>
  <si>
    <t>The previous RIPC meeting highlighted service-provider coordination, KMZ verification, 5-year vision and funding model support.</t>
  </si>
  <si>
    <t>Stage 4 infrastructure assumptions</t>
  </si>
  <si>
    <t>Present utility and road infrastructure strategy</t>
  </si>
  <si>
    <t>Scope of RIPC review</t>
  </si>
  <si>
    <t>Review scope</t>
  </si>
  <si>
    <t>Service provider coverage</t>
  </si>
  <si>
    <t>Confirm KMZ verification and target zones</t>
  </si>
  <si>
    <t>Coverage feedback</t>
  </si>
  <si>
    <t>GIS / Infrastructure Lead</t>
  </si>
  <si>
    <t>Coverage note</t>
  </si>
  <si>
    <t>Phasing and delivery</t>
  </si>
  <si>
    <t>Discuss 5-year plan alignment and pilot implementation lessons</t>
  </si>
  <si>
    <t>Phasing recommendations</t>
  </si>
  <si>
    <t>Phasing input</t>
  </si>
  <si>
    <t>Funding model</t>
  </si>
  <si>
    <t>Understand applicable infrastructure financing mechanisms</t>
  </si>
  <si>
    <t>Funding inputs / limitations</t>
  </si>
  <si>
    <t>Cost Lead</t>
  </si>
  <si>
    <t>Funding mechanism note</t>
  </si>
  <si>
    <t>Agree whether additional provider meetings are needed</t>
  </si>
  <si>
    <t>Stakeholder coordination route</t>
  </si>
  <si>
    <t>M09</t>
  </si>
  <si>
    <t>Clarify mineral/industrial constraints impacting Stage 4 developable land.</t>
  </si>
  <si>
    <t>The project materials identify a silica/sand reserve near the project and previous coordination flagged Ministry of Industry as a key stakeholder.</t>
  </si>
  <si>
    <t>Project context and Stage 4 purpose</t>
  </si>
  <si>
    <t>Present draft constraints map and project boundary</t>
  </si>
  <si>
    <t>Scope agreed</t>
  </si>
  <si>
    <t>Mineral reserve boundaries</t>
  </si>
  <si>
    <t>Confirm location, status and protection requirements for mineral/silica/sand reserves</t>
  </si>
  <si>
    <t>Validated GIS layer or formal note</t>
  </si>
  <si>
    <t>Environment / GIS Lead</t>
  </si>
  <si>
    <t>Constraints map update</t>
  </si>
  <si>
    <t>Industrial / resource plans</t>
  </si>
  <si>
    <t>Clarify any future plans that may affect the site</t>
  </si>
  <si>
    <t>Planning input or information required</t>
  </si>
  <si>
    <t>Future plan note</t>
  </si>
  <si>
    <t>Land-use implications</t>
  </si>
  <si>
    <t>Discuss acceptable buffers, restrictions and incompatible land uses</t>
  </si>
  <si>
    <t>Land-use constraints</t>
  </si>
  <si>
    <t>Stage 4 constraint log</t>
  </si>
  <si>
    <t>Agree data sharing and follow-up timing</t>
  </si>
  <si>
    <t>RFI and MoM</t>
  </si>
  <si>
    <t>Action tracker</t>
  </si>
  <si>
    <t>M10</t>
  </si>
  <si>
    <t>Validate Stage 4 movement network and regional transport interfaces.</t>
  </si>
  <si>
    <t>Stage 4 must translate Riyadh Plan transport logic and baseline transport findings into a structure plan network.</t>
  </si>
  <si>
    <t>Network overview</t>
  </si>
  <si>
    <t>Present proposed road hierarchy and regional connections</t>
  </si>
  <si>
    <t>Review scope confirmed</t>
  </si>
  <si>
    <t>ROW and planned corridors</t>
  </si>
  <si>
    <t>Confirm planned alignments, ROW extents and any protected corridors</t>
  </si>
  <si>
    <t>Transport GIS inputs</t>
  </si>
  <si>
    <t>Corridor action list</t>
  </si>
  <si>
    <t>Logistics and rail interfaces</t>
  </si>
  <si>
    <t>Discuss Dammam Road, SAR, freight/logistics needs and future capacity</t>
  </si>
  <si>
    <t>Transport constraints and opportunities</t>
  </si>
  <si>
    <t>Network comments</t>
  </si>
  <si>
    <t>Integration with land use</t>
  </si>
  <si>
    <t>Confirm access strategy and mobility hierarchy for centers and development areas</t>
  </si>
  <si>
    <t>Land-use/network feedback</t>
  </si>
  <si>
    <t>Urban Planning + Transport</t>
  </si>
  <si>
    <t>Integrated comments</t>
  </si>
  <si>
    <t>Agree data and review timeline</t>
  </si>
  <si>
    <t>M11</t>
  </si>
  <si>
    <t>Close land ownership and title-deed gaps for Stage 4 parcel decisions.</t>
  </si>
  <si>
    <t>Stage 2-3 identified dataset inconsistencies and the need for legal/title deed validation before parcel reassignment and land treatment.</t>
  </si>
  <si>
    <t>Parcel data gaps</t>
  </si>
  <si>
    <t>Present known title deed and parcel dataset inconsistencies</t>
  </si>
  <si>
    <t>Validation scope agreed</t>
  </si>
  <si>
    <t>Land Lead</t>
  </si>
  <si>
    <t>Data gap register</t>
  </si>
  <si>
    <t>Ownership confirmation</t>
  </si>
  <si>
    <t>Confirm state-owned lands and private/title deed status</t>
  </si>
  <si>
    <t>Updated ownership data</t>
  </si>
  <si>
    <t>Ownership action list</t>
  </si>
  <si>
    <t>Affected parcels</t>
  </si>
  <si>
    <t>Discuss parcels impacted by wadis, pipelines and no-go zones</t>
  </si>
  <si>
    <t>Legal treatment requirements</t>
  </si>
  <si>
    <t>Affected parcel log</t>
  </si>
  <si>
    <t>Methodology alignment</t>
  </si>
  <si>
    <t>Confirm methodology for land reassignment and legal constraints</t>
  </si>
  <si>
    <t>Methodology comments</t>
  </si>
  <si>
    <t>Methodology decision note</t>
  </si>
  <si>
    <t>Agree data handover and closure dates</t>
  </si>
  <si>
    <t>Formal RFI and MoM</t>
  </si>
  <si>
    <t>M12</t>
  </si>
  <si>
    <t>Utilities Cluster</t>
  </si>
  <si>
    <t>Validate Stage 4 wet, dry and digital utility assumptions.</t>
  </si>
  <si>
    <t>Baseline identified major infrastructure gaps; Stage 4 requires demand, network and cost assumptions for the structure plan and feasibility interface.</t>
  </si>
  <si>
    <t>Utility demand assumptions</t>
  </si>
  <si>
    <t>Review preliminary demand rates and phasing</t>
  </si>
  <si>
    <t>Agreement or correction</t>
  </si>
  <si>
    <t>Utilities Leads</t>
  </si>
  <si>
    <t>Demand assumptions log</t>
  </si>
  <si>
    <t>Network capacity and standards</t>
  </si>
  <si>
    <t>Confirm standards and capacity limitations</t>
  </si>
  <si>
    <t>Standards and capacity register</t>
  </si>
  <si>
    <t>Input register</t>
  </si>
  <si>
    <t>Corridor integration</t>
  </si>
  <si>
    <t>Review utility corridors, ROW and conflicts with wadis/pipelines</t>
  </si>
  <si>
    <t>Conflict log</t>
  </si>
  <si>
    <t>GIS / Utilities Lead</t>
  </si>
  <si>
    <t>Constraint updates</t>
  </si>
  <si>
    <t>Cost assumptions</t>
  </si>
  <si>
    <t>Review unit rates and cost estimate basis</t>
  </si>
  <si>
    <t>Cost review comments</t>
  </si>
  <si>
    <t>Cost inputs</t>
  </si>
  <si>
    <t>Agree data and review cycle</t>
  </si>
  <si>
    <t>Primary Stage 3-4 meetings</t>
  </si>
  <si>
    <t>Contact person</t>
  </si>
  <si>
    <t>Faisal Alsununi	Ministry representative	faisal.alsununi@moenrgy.gov.sa
Mohmeed Alshaikh	Ministry representative	Mohmeed.Alshaikh@moenergy.gov.sa</t>
  </si>
  <si>
    <t>Provide A feedback</t>
  </si>
  <si>
    <t>Confirm strategic assumptions relevant to Project East Grant utilities planning and costing, and maintain periodic coordination meetings as agreed during the latest meeting.</t>
  </si>
  <si>
    <t>Review pipeline constraints and protection requirements strategic assumptions relevant to Project Eat Grant utilities planning and costing</t>
  </si>
  <si>
    <t>Mohammed bin Saleh Al-Duhaim	Executive Director of Geospatial Data	maldohim@swa.gov.sa
Abdulrahman bin Mohammed Al-Shehri	Director General of Project Services	amshehri@nwc.com.sa
Naif bin Mutlaq Al-Dulaie	Deputy Director of the Office of the Undersecretary for Lands and Geospatial Information	naimalotaibi@mewa.gov.sa</t>
  </si>
  <si>
    <t>National counterpart for water, environment, and agriculture matters, ensuring alignment with the National Water Strategy and relevant sector priorities, coordinating on hydrology, irrigation, and environmental baselines, and reviewing available project data with the entity to identify and reconcile any discrepancies.</t>
  </si>
  <si>
    <t>high</t>
  </si>
  <si>
    <t xml:space="preserve">Mohammed bin Saleh Al-Duhaim		Executive Director of Geospatial Data		maldohim@swa.gov.sa	
Abdulrahman bin Mohammed Al-Shehri		Director General of Project Services		amshehri@nwc.com.sa	
Naif bin Mutlaq Al-Dulaie		Deputy Director of the Office of the Undersecretary for Lands and Geospatial Information		naimalotaibi@mewa.gov.sa	</t>
  </si>
  <si>
    <t>Review irriNational counterpart for water, environment, and agriculture matters, ensuring alignment with the National Water Strategy and relevant sector priorities, coordinating on hydrology, irrigation, and environmental baselines, and reviewing available project data with the entity to identify and reconcile any discrepancies.gation opportunities and water reuse potential</t>
  </si>
  <si>
    <t>Previous Meetings and Follow-up Tracker</t>
  </si>
  <si>
    <t>Only information available from the provided MoMs is recorded. Blank owners/dates are marked as Information Required or Open - verify status.</t>
  </si>
  <si>
    <t>S.No</t>
  </si>
  <si>
    <t>Stakeholder Type</t>
  </si>
  <si>
    <t>Description</t>
  </si>
  <si>
    <t xml:space="preserve">Stakeholder </t>
  </si>
  <si>
    <t>Date of Engagement</t>
  </si>
  <si>
    <t xml:space="preserve">Key Point Discussed </t>
  </si>
  <si>
    <t xml:space="preserve">Action Items </t>
  </si>
  <si>
    <t>Minutes of meeting</t>
  </si>
  <si>
    <t>Minutes of meeting2</t>
  </si>
  <si>
    <t>Minutes of meeting3</t>
  </si>
  <si>
    <t>Minutes of meeting4</t>
  </si>
  <si>
    <t>Minutes of meeting5</t>
  </si>
  <si>
    <t>Minutes of meeting6</t>
  </si>
  <si>
    <t>Minutes of meeting7</t>
  </si>
  <si>
    <t>Minutes of meeting8</t>
  </si>
  <si>
    <t>follow-up</t>
  </si>
  <si>
    <t xml:space="preserve">their response note </t>
  </si>
  <si>
    <t>Our Actions</t>
  </si>
  <si>
    <t>External</t>
  </si>
  <si>
    <t>Coordination and alignment meeting – East Riyadh Grant Project – AMANAH</t>
  </si>
  <si>
    <t>Riyadh Municipality (Amanah)</t>
  </si>
  <si>
    <t>- Discussed Project East Grant overview and stakeholder coordination between RCRC and Amanah.</t>
  </si>
  <si>
    <t>- Amanah to share complete parcel dataset (51k+ records) for baseline validation.</t>
  </si>
  <si>
    <t>https://wsponlineare.sharepoint.com/:w:/r/sites/SA-Project-Grant-RCR/Shared%20Documents/02-PM%20Docs/02-%20MoM/02-Outgoing/00.%20Client%20Meetings/03.%20AMANAH/260216-55007720-PR-%20Amanah%20Stakeholder%20Engagement%20and%20Data%20Validation%20(EN).docx?d=w385edf31370d4d74907d3a2e798f4e34&amp;csf=1&amp;web=1&amp;e=ec9Z19</t>
  </si>
  <si>
    <t>Done</t>
  </si>
  <si>
    <t>Reviewed and logged the received GIS land data for further assessment and integration into the project records.</t>
  </si>
  <si>
    <t>A follow-up coordination meeting has been scheduled for next Monday to review the submitted data, discuss outstanding items, and follow up on any pending requirements.</t>
  </si>
  <si>
    <t>- Identified major data gaps, with ~6,000+ parcels missing grant status and need for full dataset (51k+).</t>
  </si>
  <si>
    <t>- Arrange coordination meeting with Ministry of Justice for ownership verification.</t>
  </si>
  <si>
    <t>- Reviewed land ownership and land-use issues, including industrial zones and government-owned lands.</t>
  </si>
  <si>
    <t>- Share and review Aramco pipeline buffer study for affected lands.</t>
  </si>
  <si>
    <t>- Highlighted need for ownership validation with Ministry of Justice.</t>
  </si>
  <si>
    <t>- Continue technical coordination on hydrology, planning, and infrastructure inputs.</t>
  </si>
  <si>
    <t>- Noted project and permit suspensions due to Royal Decree and pipeline constraints.</t>
  </si>
  <si>
    <t>- Provide additional details on industrial permits and land-use approvals.</t>
  </si>
  <si>
    <t>- Agreed on next steps: data submission, MoJ coordination, and further technical studies (hydrology, planning).</t>
  </si>
  <si>
    <t>- Align stakeholders on next steps to address project and permit constraints.</t>
  </si>
  <si>
    <t>Coordination and alignment meeting – East Riyadh Grant Project – Ministry of Justice</t>
  </si>
  <si>
    <t>- Meeting focused on coordination with the Ministry of Justice for Project East Grant and clarification of title deed issues.</t>
  </si>
  <si>
    <t>- MoJ to review and verify title deed status for ~13,851 parcels.</t>
  </si>
  <si>
    <t>https://wsponlineare.sharepoint.com/:w:/r/sites/SA-Project-Grant-RCR/Shared%20Documents/02-PM%20Docs/02-%20MoM/02-Outgoing/00.%20Client%20Meetings/04.%20MOJ/260225-55007720-MB-MOJ%20Coordination%20Meeting%20(EN).docx?d=w5dcc8904ef8a4fa990e51a7c67142970&amp;csf=1&amp;web=1&amp;e=jaPVgj</t>
  </si>
  <si>
    <t>A coordination meeting was held with the Ministry of Justice regarding land title deeds. The Ministry provided details of the plots associated with existing title deeds.</t>
  </si>
  <si>
    <t>No further meetings are required at this stage. Additional coordination sessions will be arranged with the Ministry of Justice if requested by the legal team or as needed to support the project's requirements.</t>
  </si>
  <si>
    <t>- Around 13,851 parcels are under review for title deed status, requiring classification verification</t>
  </si>
  <si>
    <t>- RCRC/Amanah to submit detailed parcel dataset (Excel + maps) for verification.</t>
  </si>
  <si>
    <t>- Discussed constraints in title deed issuance, including Mayor approval and classification as public service land</t>
  </si>
  <si>
    <t>- Both parties to align on parcel classification (public service, grant, etc.).</t>
  </si>
  <si>
    <t>- Highlighted data submission requirements, including detailed Excel dataset and supporting maps</t>
  </si>
  <si>
    <t>- MoJ to investigate legal/judicial discrepancies impacting ownership records.</t>
  </si>
  <si>
    <t>- Noted potential legal/judicial discrepancies due to cases filed outside Riyadh</t>
  </si>
  <si>
    <t>- Establish clear process for title deed issuance approvals (including Mayor approval where required).</t>
  </si>
  <si>
    <t>- Agreed on data sharing approach and timeline, with MoJ to provide data within 3–4 weeks</t>
  </si>
  <si>
    <t>- MoJ to share verified data within agreed timeline (3–4 weeks).</t>
  </si>
  <si>
    <t>Coordination and alignment meeting – East Riyadh Grant Project – SPGA</t>
  </si>
  <si>
    <t>State Properties General Authority</t>
  </si>
  <si>
    <t>- Meeting focused on coordination with the General Authority for State Properties (GASP) for Project East Grant master plan update.</t>
  </si>
  <si>
    <t>- RCRC to share project data (Shape files, KMZ, and presentation) with SGPA for review.</t>
  </si>
  <si>
    <t>https://wsponlineare.sharepoint.com/:w:/r/sites/SA-Project-Grant-RCR/Shared%20Documents/02-PM%20Docs/02-%20MoM/02-Outgoing/00.%20Client%20Meetings/05.%20State%20Properties%20General%20Authority%20(SPGA)/260303-55007720-MB-SPGA%20Coordination%20Meeting%20(EN).docx?d=w954ab0d40eba4b239b390cacee6adc9a&amp;csf=1&amp;web=1&amp;e=46vgUf</t>
  </si>
  <si>
    <t>SPGA responded with:
• ZIP file containing GIS shapefiles (Lands.shp) with government land parcels data
• Includes: polygon boundaries, area calculations, and land classification</t>
  </si>
  <si>
    <t>Share GIS data with WSP GIS team for integration into project basemap</t>
  </si>
  <si>
    <t>- Discussed legal and regulatory status of governmental lands, including classification and allocation types</t>
  </si>
  <si>
    <t>- SGPA to review and confirm legal status and classification of government lands.</t>
  </si>
  <si>
    <t>- Raised queries on ownership transfer, title deeds, and land use across multiple plans (3141, 3210, 3143)</t>
  </si>
  <si>
    <t>- Both parties to clarify ownership transfer and title deed requirements for key plans.</t>
  </si>
  <si>
    <t>- Covered issues related to government lands outside development boundary and potential land replacement</t>
  </si>
  <si>
    <t>- Assess lands outside development boundary and identify possible replacements if required.</t>
  </si>
  <si>
    <t>- GASP requested project data files (Shape, KMZ, presentation) for review</t>
  </si>
  <si>
    <t>- Align on land use and allocation status across affected parcels.</t>
  </si>
  <si>
    <t>- Agreed on timeline for data submission and response (within 1 week) to proceed with validation</t>
  </si>
  <si>
    <t>-SGPA to provide feedback within the agreed timeline (about 1 week) to proceed further.</t>
  </si>
  <si>
    <t>Coordination and alignment meeting – East Riyadh Grant Project – Ministry of Industry and Mineral Resources.</t>
  </si>
  <si>
    <t>- Meeting covered Project East Grant overview, including objectives, scope, and alignment with the Riyadh strategic plan.</t>
  </si>
  <si>
    <t>- MIM to review project data and assess impact on silica zones and industrial activities.</t>
  </si>
  <si>
    <t>https://wsponlineare.sharepoint.com/:w:/r/sites/SA-Project-Grant-RCR/Shared%20Documents/02-PM%20Docs/02-%20MoM/02-Outgoing/00.%20Client%20Meetings/06.%20MIM/260225-55007720-MB-MIMCoordination%20Meeting.docx?d=w205fc03470964c928752fdda6cffe0fc&amp;csf=1&amp;web=1&amp;e=VZLZzS</t>
  </si>
  <si>
    <t>RP</t>
  </si>
  <si>
    <t>Ministry responded via email with 2 maps showing mining areas that overlap with the project. They request excluding these areas from the project.</t>
  </si>
  <si>
    <r>
      <rPr>
        <sz val="11"/>
        <rFont val="Carlito"/>
        <family val="2"/>
      </rPr>
      <t xml:space="preserve">Share with WSP team and coordinate with RCRC on boundary </t>
    </r>
    <r>
      <rPr>
        <sz val="11"/>
        <rFont val="Calibri"/>
        <family val="2"/>
        <scheme val="major"/>
      </rPr>
      <t>adjustments</t>
    </r>
  </si>
  <si>
    <t>- Highlighted the large project area and need to assess both current overlaps and future development impacts.</t>
  </si>
  <si>
    <t>- RCRC to share detailed project data and overlap analysis with MIM.</t>
  </si>
  <si>
    <t>- Confirmed overlap with the silica area, which includes key industrial activities like cement and ceramics.</t>
  </si>
  <si>
    <t>- Both parties to evaluate constraints related to protected silica resources.</t>
  </si>
  <si>
    <t>- Noted that the silica zone is strategically important and protected, being the Kingdom’s primary raw material source</t>
  </si>
  <si>
    <t>- Align on future land use, industrial planning, and development vision for the area.</t>
  </si>
  <si>
    <t>- Discussed future industrial activities, development vision, and workforce accommodation needs.</t>
  </si>
  <si>
    <t>- Assess workforce accommodation and infrastructure requirements.</t>
  </si>
  <si>
    <t>- Agreed on data sharing and further review by the Ministry, followed by feedback and continued coordination.</t>
  </si>
  <si>
    <t>- Continue coordination with MIM and provide feedback for further planning decisions.</t>
  </si>
  <si>
    <t>Coordination and alignment meeting – East Riyadh Grant Project – Imam Abdulaziz Bin Muhammad Royal Reserve</t>
  </si>
  <si>
    <t>Imam Abdulaziz Bin Muhammad Royal Reserve</t>
  </si>
  <si>
    <t>- Meeting focused on alignment between Project East Grant and Imam Abdulaziz Royal Reserve, covering planning and environmental coordination.</t>
  </si>
  <si>
    <t>- RCRC to share updated planning data and interface details with the Royal Reserve team.</t>
  </si>
  <si>
    <t>https://wsponlineare.sharepoint.com/:b:/r/sites/SA-Project-Grant-RCR/Shared%20Documents/02-PM%20Docs/02-%20MoM/02-Outgoing/00.%20Client%20Meetings/07.%20Imam%20Abdulaziz%20Bin%20Muhammad%20Royal%20Reserve/260504-55007720-PR-Project%20East%20Grant%20Coordination%20,%20alignment%20with%20the%20Imam%20Abdulaziz%20bin%20Muhammad%20Royal%20Reserve%20%E2%80%93%20East%20Riyadh%20Grants%20Project.pdf?csf=1&amp;web=1&amp;e=H3TG02</t>
  </si>
  <si>
    <t xml:space="preserve">
. The Ministry identified overlaps between the project boundary and mining reserve areas, particularly high-purity silica reserves, and recommended excluding these areas from the project. *Excel file: Detailed answers to 26 technical questions (buffer zones, wadis, ecology, etc.)
• PDF file: Project implementation guidelines for Royal Reserve</t>
  </si>
  <si>
    <t>Share IARDA responses with WSP technical team for review and integration into project design</t>
  </si>
  <si>
    <t>- Project spans ~550–584 sq. km, aiming to improve urban planning, infrastructure, and development strategy.</t>
  </si>
  <si>
    <t>- Royal Reserve to review spatial overlaps and environmental constraints (biodiversity, corridors, buffers).</t>
  </si>
  <si>
    <t>- Emphasis on environmental sustainability, including hydrology, flood management, and biodiversity integration with the reserve.</t>
  </si>
  <si>
    <t>- Both parties to align on hydrology and flood management requirements across the interface areas.</t>
  </si>
  <si>
    <t>- Highlighted key challenges: lack of infrastructure, outdated land plans, environmental constraints, and multi-agency coordination issues.</t>
  </si>
  <si>
    <t>- Track and resolve open technical queries through a shared Excel log.</t>
  </si>
  <si>
    <t>- Discussed technical aspects such as ecological corridors, watershed impacts, and future growth scenarios (15–20 years).</t>
  </si>
  <si>
    <t>- Coordinate on land use, development boundaries, and protected zones to avoid conflicts.</t>
  </si>
  <si>
    <t>- Agreed on next steps, including data sharing, query tracking via Excel, and continued stakeholder coordination for validation.</t>
  </si>
  <si>
    <t>- Continue multi-stakeholder coordination and validation meetings for project alignment.</t>
  </si>
  <si>
    <t>Coordination and alignment meeting – East Riyadh Grant Project – MEWA</t>
  </si>
  <si>
    <t>Ministry of Environment, Water and Agriculture</t>
  </si>
  <si>
    <t>- Meeting focused on strategic coordination with MEWA for the East Riyadh Grants Project, including alignment on environmental and water-sector requirements.</t>
  </si>
  <si>
    <t>- MEWA to share standard templates and environmental assessment frameworks with RCRC/WSP.</t>
  </si>
  <si>
    <t>https://wsponlineare.sharepoint.com/:b:/r/sites/SA-Project-Grant-RCR/Shared%20Documents/02-PM%20Docs/02-%20MoM/02-Outgoing/00.%20Client%20Meetings/08.%20MEWA/260505-55007720-MB-MEWA-MoM-.pdf?csf=1&amp;web=1&amp;e=HAUrkG</t>
  </si>
  <si>
    <t>DMO</t>
  </si>
  <si>
    <t>رCoordination with DMO is required to address the relevant matters and obtain the necessary information</t>
  </si>
  <si>
    <t>- MEWA emphasized the need for strategic-level coordination aligned with ministry frameworks and confirmed availability of standard templates.</t>
  </si>
  <si>
    <t>- RCRC/WSP to review and align submissions with MEWA’s requirements and guidelines.</t>
  </si>
  <si>
    <t>- Discussed environmental assessment requirements, with MEWA providing models expected to address key project queries</t>
  </si>
  <si>
    <t>- Both parties to coordinate on environmental studies and impact assessments for the project.</t>
  </si>
  <si>
    <t>- Project team presented key technical topics requiring MEWA input, including environmental and planning aspects.</t>
  </si>
  <si>
    <t>- Align on water-sector planning, infrastructure integration, and future demand requirements.</t>
  </si>
  <si>
    <t>- Highlighted importance of future coordination on water-sector planning and integration.</t>
  </si>
  <si>
    <t>- Project team to address key technical queries raised by MEWA.</t>
  </si>
  <si>
    <t>- Agreed on next steps, including template sharing, review by RCRC/WSP, and continued coordination meetings.</t>
  </si>
  <si>
    <t>- Continue regular coordination meetings to ensure alignment and timely feedback.</t>
  </si>
  <si>
    <t>Coordination and alignment meeting – East Riyadh Grant Project – Ministry of Energy</t>
  </si>
  <si>
    <t>- Project East Grant is a large-scale master planning initiative in eastern Riyadh (~584 km²), currently in Stage 03, focused on developing a sustainable, infrastructure-integrated urban framework.</t>
  </si>
  <si>
    <t>- WSP to prepare and share presentation along with consolidated questions in Excel format for MoE review.</t>
  </si>
  <si>
    <t>https://wsponlineare.sharepoint.com/:w:/r/sites/SA-Project-Grant-RCR/_layouts/15/Doc.aspx?sourcedoc=%7B3F7293F7-F397-41A5-B207-4D0D4CF09274%7D&amp;file=260511-55007720-PR-Project%20East%20Grant%20Coordination%20and%20Alignment%20Meeting%20%25u2013%20East%20Riyadh%20Grant%20Project%20%25u2013%20Ministry%20of%20Energy.docx&amp;action=default&amp;mobileredirect=true</t>
  </si>
  <si>
    <t>A follow-up coordination meeting has been agreed upon to discuss outstanding matters and next steps.</t>
  </si>
  <si>
    <t>Conducted a second coordination meeting to follow up on outstanding matters and discuss the latest updates.</t>
  </si>
  <si>
    <t>- Ministry of Energy confirmed that all upcoming meetings shall be conducted in Arabic; queries to be submitted via presentation + Excel document for structured response.</t>
  </si>
  <si>
    <t>- WSP to arrange future meetings ensuring Arabic language requirement is addressed.</t>
  </si>
  <si>
    <t>- Alignment on strategic energy infrastructure and corridor protection requirements; understand impact on land use, phasing, and development feasibility.</t>
  </si>
  <si>
    <t>- MoE to provide clarification on pipeline alignment, protection zones, and land use restrictions.</t>
  </si>
  <si>
    <t>- Saudi Aramco pipeline identified as key strategic corridor requiring protection; critical confirmations needed on alignment, protection zones, setbacks, and permitted land uses.</t>
  </si>
  <si>
    <t>- MoE to assess feasibility of undergrounding or rerouting high-voltage transmission lines.</t>
  </si>
  <si>
    <t>- Power infrastructure (transmission lines and substations) may impact land suitability; query raised on feasibility of undergrounding or rerouting high-voltage overhead lines.</t>
  </si>
  <si>
    <t>- MoE to share detailed electricity demand forecasts, load requirements, and grid reinforcement plans.</t>
  </si>
  <si>
    <t>- Further alignment required with Ministry of Energy, Saudi Aramco, Saudi Electricity Company (SEC), and National Grid for electricity demand and network planning.</t>
  </si>
  <si>
    <t>- All parties to continue coordination and participate in workshop on 21 May; align development plans with energy infrastructure constraints.</t>
  </si>
  <si>
    <t>Technical Meeting – East Riyadh Grant Project – Riyadh Municipality (General Directorate of Stormwater Networks)</t>
  </si>
  <si>
    <t>- Technical meeting with Riyadh Municipality's Flood Management Department to review available Amanah hydrological study, understand methodology, identify data gaps, and request updated information.</t>
  </si>
  <si>
    <t>- Riyadh Municipality to share available HEC-HMS and HEC-RAS model files related to previous Amanah study.</t>
  </si>
  <si>
    <t>260618-55007720-PR-Project East Grant -Technical Meeting – East Riyadh Grant Project – Riyadh Municipality (General Directorate of Stormwater Networks_v2 1.docx</t>
  </si>
  <si>
    <t>The data has been reviewed and documented. No further meetings are required at this stage, as all available data has already been received.</t>
  </si>
  <si>
    <t>The WSP Hydrology team will utilize the received data as part of their assessment. Further coordination with the Flood Management Department will be initiated if additional discussions or clarifications are required.</t>
  </si>
  <si>
    <t>- Municipality clarified that previous Amanah study is over 12 years old, covered only limited portion of project area, and should not be relied on for current decision-making.</t>
  </si>
  <si>
    <t>- Riyadh Municipality to share reports, drawings, and data related to important wadis in the project area.</t>
  </si>
  <si>
    <t>- WSP requested updated survey data, hydrological data, HEC-HMS/HEC-RAS files, and GIS layers; Municipality confirmed they will share available data but noted it may be old and based on Ain Al-Abd coordinate system.</t>
  </si>
  <si>
    <t>- Riyadh Municipality to share information on existing culverts, stormwater infrastructure, and spot levels.</t>
  </si>
  <si>
    <t>- Strategic hydrology studies exist but are not yet approved and may not be shareable; previous studies recommended conducting a dedicated hydrological study for the area.</t>
  </si>
  <si>
    <t>- WSP to review received data and confirm accuracy, coordinate system, and relevance to Project East Grant.</t>
  </si>
  <si>
    <t>- WSP presented baseline hydrology assessment using available topographic data (DEM 10m) and Google Earth imagery; key challenge is lack of complete spatial data for wadi protection and flood behavior.</t>
  </si>
  <si>
    <t>- WSP to use Amanah's previous study only as methodology reference, not as final technical basis.</t>
  </si>
  <si>
    <t>- Municipality will share available hydrology-related information including culvert locations, stormwater infrastructure, and wadi studies within approximately one month.</t>
  </si>
  <si>
    <t>- Continue coordination with Riyadh Municipality on hydrology, wadi buffers, flood management, and data requirements.</t>
  </si>
  <si>
    <t>Coordination and alignment meeting – East Riyadh Grant Project –Ministry of Transport &amp; Logistics</t>
  </si>
  <si>
    <t xml:space="preserve"> Ministry of Transport and Logistics Services </t>
  </si>
  <si>
    <t>- Meeting focused on strategic coordination with Ministry of Transport &amp; Logistics Services for the East Riyadh Grant Project, covering transport network planning and future road infrastructure.</t>
  </si>
  <si>
    <t>- MOTLS to share detailed transport network plans and road hierarchy data with RCRC/WSP.</t>
  </si>
  <si>
    <t>https://wsponlineare.sharepoint.com/:w:/r/sites/SA-Project-Grant-RCR/_layouts/15/Doc.aspx?sourcedoc=%7BC679ADB2-2B7E-46CB-96B2-68AC75FD8BC9%7D&amp;file=260513-55007720-PR-Project%20East%20Grant%20Coordination%20and%20Alignment%20Meeting%20%25u2013%20East%20Riyadh%20Grant%20Project%20%25u2013%20Ministry%20of%20Transport%20and%20Logistics%20Services.docx&amp;action=default&amp;mobileredirect=true</t>
  </si>
  <si>
    <t>The entity expressed its willingness to provide any required support or assistance throughout the project.</t>
  </si>
  <si>
    <t>No further meetings are required at this stage. A follow-up meeting may be required upon completion of Stage 3 (Options Assessment) to review the outcomes and discuss any further requirements.</t>
  </si>
  <si>
    <t>- Discussed regional and local road network hierarchy, including planned expressways, arterial roads, and connections to neighboring developments.</t>
  </si>
  <si>
    <t>- RCRC/WSP to review transport data and integrate into master plan development.</t>
  </si>
  <si>
    <t>- Highlighted existing and planned road corridors affecting the project area, including Ring Road extensions and major interchanges.</t>
  </si>
  <si>
    <t>- Both parties to align on public transport corridors and mobility hub locations.</t>
  </si>
  <si>
    <t>- Reviewed public transport integration requirements, including metro extensions, bus rapid transit (BRT) corridors, and mobility hubs.</t>
  </si>
  <si>
    <t>- MOTLS to provide freight corridor requirements and logistics zone constraints.</t>
  </si>
  <si>
    <t>- Discussed freight and logistics considerations, including truck routes, logistics zones, and buffer requirements for residential areas.</t>
  </si>
  <si>
    <t>- Coordinate on road infrastructure phasing and implementation timeline.</t>
  </si>
  <si>
    <t>- Agreed on data sharing approach and timeline, with MOTLS to provide transport network data and future planning inputs for integration.</t>
  </si>
  <si>
    <t>- Continue regular coordination meetings to ensure alignment with transport planning requirements.</t>
  </si>
  <si>
    <t>Coordination and alignment meeting – East Riyadh Grant Project –Ministry of Municipalities and Housing</t>
  </si>
  <si>
    <t>Ministry of Municipalities and Housing</t>
  </si>
  <si>
    <t>- Meeting focused on coordination with Ministry of Municipalities and Housing for Project East Grant, covering project scope, objectives, and development challenges.</t>
  </si>
  <si>
    <t>- RCRC to share KMZ file and presentation slides with Ministry for internal review.</t>
  </si>
  <si>
    <t>https://wsponlineare.sharepoint.com/:w:/r/sites/SA-Project-Grant-RCR/_layouts/15/Doc.aspx?sourcedoc=%7B2A2A3704-6610-40DD-8A99-26379BECA73E%7D&amp;file=260514-55007720-PR-Project%20East%20Grant%20Coordination%20and%20Alignment%20Meeting%20-%20Ministry%20of%20Municipalities%20and%20Housing.docx&amp;action=default&amp;mobileredirect=true</t>
  </si>
  <si>
    <t>The entity welcomed continued collaboration and expressed its readiness to provide any required support or assistance throughout the project</t>
  </si>
  <si>
    <t>A follow-up coordination meeting is scheduled for Monday, 26 July, to discuss progress, review outstanding items, and align on the next steps.</t>
  </si>
  <si>
    <t>- WSP presented technical overview including existing site conditions, available datasets, and proposed future vision and development direction.</t>
  </si>
  <si>
    <t>- Provide clarifications on land ownership status and Plot No. 2 (housing sector confirmation).</t>
  </si>
  <si>
    <t>- Ministry raised key queries on land ownership (MoJ involvement), building licensing status (licensed vs unlicensed), and construction activities post Royal Decree.</t>
  </si>
  <si>
    <t>- Address Ministry queries on building licensing status (licensed vs unlicensed).</t>
  </si>
  <si>
    <t>- RCRC clarified data sources include State Properties General Authority, Ministry of Justice, and Riyadh Municipality; confirmed majority of buildings are unlicensed with some valid permits.</t>
  </si>
  <si>
    <t>- Clarify development status and construction activities post Royal Decree.</t>
  </si>
  <si>
    <t>- Discussed compensation mechanism and integration of existing approved plans, with exceptions for wadi systems, environmental conditions, and infrastructure constraints (e.g., Aramco pipelines).</t>
  </si>
  <si>
    <t>- Define and communicate compensation approach, including alternative land provision where feasible.</t>
  </si>
  <si>
    <t>- Ministry confirmed willingness to support the project and requested sharing of presentation materials (KMZ, slides) for internal review.</t>
  </si>
  <si>
    <t>- Ministry to review shared materials and align on future land use plans within project area.</t>
  </si>
  <si>
    <t>Coordination and Alignment Meeting for the East Riyadh Land Grants Project – Wadi Al-Sulai</t>
  </si>
  <si>
    <t xml:space="preserve"> Wadi Al-Sulai</t>
  </si>
  <si>
    <t>- Meeting focused on coordination between East Riyadh Grants Project and Wadi Al-Sulai, covering wadi protection, affected plots, development controls, and compensation mechanisms.</t>
  </si>
  <si>
    <t>- WSP/RCRC to update hydrological study for Project East Grant to support planning and design decisions.</t>
  </si>
  <si>
    <t>https://wsponlineare.sharepoint.com/:w:/r/sites/SA-Project-Grant-RCR/_layouts/15/Doc.aspx?sourcedoc=%7B26526378-0E57-44DF-861B-C3631B2097A9%7D&amp;file=260518-55007720-PR-Project%20East%20Grant%20Coordination%20and%20Alignment%20Meeting%20%25u2013%20East%20Riyadh%20Grants%20Project%20%25u2013%20Wadi%20Al-Sulai.docx&amp;action=default&amp;mobileredirect=true</t>
  </si>
  <si>
    <t>A technical meeting was held with the Hydrology team, and the requested data was provided.</t>
  </si>
  <si>
    <t>The WSP Hydrology team will continue direct coordination as required. Additional information will be requested in the future if needed to support the ongoing assessment and project</t>
  </si>
  <si>
    <t>- WSP presented baseline findings; wadis intersect existing developments and planned land uses, with general hydrological direction identified and need for updated technical studies.</t>
  </si>
  <si>
    <t>- Coordinate with Riyadh Municipality land and property departments regarding affected lands and compensation mechanisms.</t>
  </si>
  <si>
    <t>- Wadi buffers must be defined case-by-case based on hydrology, depth, landscape, environmental conditions, and urban design; not fixed distances.</t>
  </si>
  <si>
    <t>- Request available environmental and vegetation studies from Wadi Al Sulai Project team; clarify land ownership for Plot No. 2.</t>
  </si>
  <si>
    <t>- Wadi diversion possible only in limited cases with strong justification; natural alignment should be preserved and protection takes priority over development.</t>
  </si>
  <si>
    <t>- WSP to review Wadi Al Sulai buffer approach and assess its relevance to Project East Grant.</t>
  </si>
  <si>
    <t>- Environmental studies include vegetation, wildlife, and ecological habitats; wadi classifications cover environmental wadi areas, urban wadi areas, and protection zones.</t>
  </si>
  <si>
    <t>- Continue technical coordination with Wadi Al Sulai team in future meetings.</t>
  </si>
  <si>
    <t>- Land treatment depends on ownership status: approved subdivisions eligible for compensation/planning adjustments; unapproved subdivisions subject to removal; complex cases escalated to Riyadh Principality.</t>
  </si>
  <si>
    <t>- Establish governance framework for wadi protection including monitoring, enforcement, and coordination with government entities.</t>
  </si>
  <si>
    <t>Coordination and Alignment Meeting – East Riyadh Land Grants Project – Riyadh Region Municipality – General Department</t>
  </si>
  <si>
    <t xml:space="preserve"> Riyadh Region Municipality</t>
  </si>
  <si>
    <t>https://wsponlineare.sharepoint.com/sites/SA-Project-Grant-RCR/Shared%20Documents/Forms/AllItems.aspx?id=%2Fsites%2FSA%2DProject%2DGrant%2DRCR%2FShared%20Documents%2F02%2DPM%20Docs%2F02%2D%20MoM%2F02%2DOutgoing%2F00%2E%20Client%20Meetings%2F03%2E%20AMANAH%2F260618%2D55007720%2DPR%2DProject%20East%20Grant%20%2DTechnical%20Meeting%20%E2%80%93%20East%20Riyadh%20Grant%20Project%20%E2%80%93%20Riyadh%20Municipality%20%28General%20Directorate%20of%20Stormwater%20Networks%5Fv2%201%2Epdf&amp;parent=%2Fsites%2FSA%2DProject%2DGrant%2DRCR%2FShared%20Documents%2F02%2DPM%20Docs%2F02%2D%20MoM%2F02%2DOutgoing%2F00%2E%20Client%20Meetings%2F03%2E%20AMANAH</t>
  </si>
  <si>
    <t>Coordination and Alignment Meeting – East Riyadh Grant Project – Riyadh Infrastructure Projects Centre</t>
  </si>
  <si>
    <t>- Project is a large-scale development initiative in East Riyadh requiring integrated infrastructure and master planning; RIPC highlighted similar project in Al Khair District (North Riyadh).</t>
  </si>
  <si>
    <t>- Share project presentation, detailed information, and queries in Excel format with RIPC.</t>
  </si>
  <si>
    <t>https://wsponlineare.sharepoint.com/:w:/r/sites/SA-Project-Grant-RCR/_layouts/15/Doc.aspx?sourcedoc=%7BF59CD891-8130-4BF7-B8E8-C6816561469A%7D&amp;file=260512-55007720-PR-Project%20East%20Grant%20Coordination%20and%20Alignment%20Meeting%20%20East%20Riyadh%20Grant%20Project%20%20Riyadh%20Infrastructure%20Projects%20Centre%20(002).docx&amp;fromShare=true&amp;action=default&amp;mobileredirect=true</t>
  </si>
  <si>
    <t>Further coordination with DMO is required to obtain additional information and address outstanding matters.</t>
  </si>
  <si>
    <t>Engagement with DMO will be required to follow up on outstanding matters and obtain any additional information needed to support the next phase of the assessment.</t>
  </si>
  <si>
    <t>- RIPC advised early coordination with Municipality to obtain approvals before proceeding; mentioned strong funding mechanism model that can be shared post-approval.</t>
  </si>
  <si>
    <t xml:space="preserve">RCRC TO share kmz file of pg bundary </t>
  </si>
  <si>
    <t>- Key site constraints identified: Saudi Aramco pipeline (with protection buffers), multiple high-voltage transmission lines (380kV &amp; 132kV), and strategic Dammam Road capacity risks.</t>
  </si>
  <si>
    <t>- RIPC to share masterplan strategy and 5-year regional planning vision.</t>
  </si>
  <si>
    <t>- Other constraints include water transmission infrastructure from Eastern Province, silica reserves (Ministry of Industry), military zone in north-east, and proposed waste management zones.</t>
  </si>
  <si>
    <t>- Coordinate with Municipality for approvals and participation in the project.</t>
  </si>
  <si>
    <t>- Limited enabling infrastructure observed: poor road network coverage, limited utilities (telecom, MV/LV power), minimal street lighting/CCTV, and residents rely on water tank supply instead of network.</t>
  </si>
  <si>
    <t>- RIPC to provide details of funding mechanism and applicability to project; explore infrastructure financing models.</t>
  </si>
  <si>
    <t>- Riyadh has a 5-year comprehensive development plan aligned with service provider strategies; KMZ submission required to assess service coverage and infrastructure planning.</t>
  </si>
  <si>
    <t>- Arrange follow-up meetings with Municipality and key stakeholders; validate infrastructure coverage based on service provider strategies.</t>
  </si>
  <si>
    <t>Coordination and Alignment Meeting – East Riyadh Land Grants Project – Ministry of Energy</t>
  </si>
  <si>
    <t>A second coordination meeting was held, and the relevant project information and supporting files were shared. Further coordination will take place upon completion of the current project stage</t>
  </si>
  <si>
    <t>Agreed to establish regular coordination meetings to ensure continuous alignment, monitor progress, and address any emerging matters.</t>
  </si>
  <si>
    <t>Stakeholder Risk Register</t>
  </si>
  <si>
    <t>Risk ID</t>
  </si>
  <si>
    <t>Risk</t>
  </si>
  <si>
    <t>Linked Stakeholder</t>
  </si>
  <si>
    <t>Cause</t>
  </si>
  <si>
    <t>Likelihood</t>
  </si>
  <si>
    <t>Impact</t>
  </si>
  <si>
    <t>Overall Rating</t>
  </si>
  <si>
    <t>Early Warning Indicator</t>
  </si>
  <si>
    <t>Risk Response</t>
  </si>
  <si>
    <t>Escalation Plan</t>
  </si>
  <si>
    <t>Risk Owner</t>
  </si>
  <si>
    <t>Target Closure</t>
  </si>
  <si>
    <t>Source / Rationale</t>
  </si>
  <si>
    <t>R-01</t>
  </si>
  <si>
    <t>Pipeline buffer constraints reduce developable land</t>
  </si>
  <si>
    <t>MoE / Aramco / Committee No.85</t>
  </si>
  <si>
    <t>Pipeline alignment and title deed affected lands not fully confirmed</t>
  </si>
  <si>
    <t>MoE cannot confirm permitted uses or affected lands</t>
  </si>
  <si>
    <t>Secure pipeline GIS and Committee No.85 input early</t>
  </si>
  <si>
    <t>RCRC to integrate Committee No.85 representatives in meetings</t>
  </si>
  <si>
    <t>Open</t>
  </si>
  <si>
    <t>MoE Second MoM</t>
  </si>
  <si>
    <t>R-02</t>
  </si>
  <si>
    <t>Land ownership/title deed gaps delay parcel reassignment</t>
  </si>
  <si>
    <t xml:space="preserve">SPGA / MOJ / Ahmanh / momah and rcrc legal team </t>
  </si>
  <si>
    <t>Inconsistent title deed lists and ownership datasets</t>
  </si>
  <si>
    <t>Ownership data remains unconfirmed before land-use freeze</t>
  </si>
  <si>
    <t>Make online workshop  with momha and moj and amanh ; maintain assumptions register</t>
  </si>
  <si>
    <t>Escalate unresolved ownership cases to RCRC</t>
  </si>
  <si>
    <t>Land/Legal Lead</t>
  </si>
  <si>
    <t>Riyadh Plan and MOMAH MoMs</t>
  </si>
  <si>
    <t>R-03</t>
  </si>
  <si>
    <t>Ministry of Industry The area in the southe requirement redesign</t>
  </si>
  <si>
    <t>MIM</t>
  </si>
  <si>
    <t>Authorities may provide contradictory constraints</t>
  </si>
  <si>
    <t>Late comments contradict approved direction</t>
  </si>
  <si>
    <t>We keep those concerned constantly informed of all new developments in the project.Legal Response:
 The matter will be discussed with our Legal Team. The Ministry of Industry resolution and the Royal Decree appointing the authority responsible for the East Riyadh Project (East Grant) will be submitted for legal review.</t>
  </si>
  <si>
    <t>RCRC to act as central coordinator and decision authority</t>
  </si>
  <si>
    <t>SEMP risk register</t>
  </si>
  <si>
    <t>R-07</t>
  </si>
  <si>
    <t>Absence of decision-maker in meetings</t>
  </si>
  <si>
    <t>All external stakeholders</t>
  </si>
  <si>
    <t>Invitations may not include empowered focal points</t>
  </si>
  <si>
    <t>Meetings end with no decisions or repeated requests</t>
  </si>
  <si>
    <t>Request named focal point and decision authority before meeting</t>
  </si>
  <si>
    <t>Reschedule or escalate through RCRC/Lubna</t>
  </si>
  <si>
    <t>SEMP stakeholder management principles</t>
  </si>
  <si>
    <t>R-04</t>
  </si>
  <si>
    <t xml:space="preserve">MEWA DATA MUST HAVE </t>
  </si>
  <si>
    <t>New urgent stakeholder requests raised late</t>
  </si>
  <si>
    <t>No response to agenda/data request within 5 working days</t>
  </si>
  <si>
    <t>Prepare concise agenda and targeted questions; propose early Technical meeting</t>
  </si>
  <si>
    <t>Escalate through RCRC if no focal point by target date</t>
  </si>
  <si>
    <t>Environment / Urban Planning Lead</t>
  </si>
  <si>
    <t>Client email request; SEMP register</t>
  </si>
  <si>
    <t>R-05</t>
  </si>
  <si>
    <t>Meeting language/protocol issue delays MoE coordination</t>
  </si>
  <si>
    <t>MoE / RCRC / WSP</t>
  </si>
  <si>
    <t>MoE requested Arabic meetings and structured Excel questions</t>
  </si>
  <si>
    <t>Materials shared only in English or without Excel questions</t>
  </si>
  <si>
    <t>MoE MoM 11-May</t>
  </si>
  <si>
    <t>Delay in getting inputs from authorities (Ministry of Energy)</t>
  </si>
  <si>
    <t>Moe</t>
  </si>
  <si>
    <t>Regular follow-ups with relevant authorities and clear documentation of assumptions in project reporting.</t>
  </si>
  <si>
    <t xml:space="preserve">Escalate it to RCRC after follow up with moe </t>
  </si>
  <si>
    <t>R-06</t>
  </si>
  <si>
    <t>Action items remain open</t>
  </si>
  <si>
    <t>All stakeholders</t>
  </si>
  <si>
    <t>MoMs have several blank due dates/owners</t>
  </si>
  <si>
    <t>Actions stay in 'open - verify status' for over 10 working days</t>
  </si>
  <si>
    <t>Create weekly action closure tracker and assign owners</t>
  </si>
  <si>
    <t>Escalate overdue actions in weekly RCRC meeting</t>
  </si>
  <si>
    <t>Previous meetings tracker</t>
  </si>
  <si>
    <t>R-08</t>
  </si>
  <si>
    <t>Missing Ministry of Industry data may affect the work, which is continuing based on assumptions until the required data is received.</t>
  </si>
  <si>
    <t>Coordination with the Ministry has not taken place due to the Council of Ministers decision and the Royal Decree.</t>
  </si>
  <si>
    <t>Required Ministry data remains unavailable while the work continues based on assumptions.</t>
  </si>
  <si>
    <t>Continue the work using documented assumptions until the required data is received from the Ministry of Industry.</t>
  </si>
  <si>
    <t>Critical issue requiring management attention and Ministry coordination.</t>
  </si>
  <si>
    <t>Council of Ministers decision and Royal Decree; required Ministry data is still pending.</t>
  </si>
  <si>
    <t>Entity / Stakeholder Name</t>
  </si>
  <si>
    <t>S.no</t>
  </si>
  <si>
    <t>Question</t>
  </si>
  <si>
    <t>Responses</t>
  </si>
  <si>
    <t>Date of response</t>
  </si>
  <si>
    <t>Data Type</t>
  </si>
  <si>
    <t>Why It Matters</t>
  </si>
  <si>
    <t>Required Input</t>
  </si>
  <si>
    <t>Question Importance Classification: Must-have / Nice-to-have</t>
  </si>
  <si>
    <t>Imam Abdulaziz bin Muhammad Royal Reserve Authority</t>
  </si>
  <si>
    <t>What mandatory buffer or setback distances are required between Project East Grant and the Royal Reserve boundary?</t>
  </si>
  <si>
    <t>Min 5km buffer from Reserve boundary. Larger buffers required for activities with significant environmental impacts, subject to IARDA approval.</t>
  </si>
  <si>
    <t>To define clear planning limits and avoid incompatible development near the Reserve.</t>
  </si>
  <si>
    <t>Official buffer distances, setback rules, no-build zones, and reserve interface requirements.</t>
  </si>
  <si>
    <t xml:space="preserve">Must have </t>
  </si>
  <si>
    <t>Are buffer widths dependent on habitat type, topography, proximity to wadis, or wildlife corridors?</t>
  </si>
  <si>
    <t>Yes. Buffer widths vary by habitat sensitivity, topography, wadi proximity &amp; wildlife corridors. Special attention to wadis and catchment areas required.</t>
  </si>
  <si>
    <t>To ensure buffers respond to actual environmental sensitivity rather than applying a single fixed distance.</t>
  </si>
  <si>
    <t>Buffer methodology, sensitivity criteria, habitat-based requirements, and GIS layers.</t>
  </si>
  <si>
    <t xml:space="preserve">Nice to have </t>
  </si>
  <si>
    <t>Are graduated buffers expected, such as no-build zones, low-impact zones, and managed landscape zones?</t>
  </si>
  <si>
    <t>Yes. Graduated approach encouraged: no-build zones near sensitive habitats → low-impact zones → managed-use zones. Extent depends on site conditions.</t>
  </si>
  <si>
    <t>To guide land use intensity and define appropriate transition areas near the Reserve.</t>
  </si>
  <si>
    <t>Buffer zoning hierarchy, permitted uses by zone, and edge management principles.</t>
  </si>
  <si>
    <t>Should buffers be designed as ecological buffers, visual buffers, or multi-functional green infrastructure?</t>
  </si>
  <si>
    <t>Primarily ecological buffers to protect habitats &amp; wildlife. Visual/multifunctional features allowed if they support conservation objectives.</t>
  </si>
  <si>
    <t>To align buffer design with conservation, landscape, and development objectives.</t>
  </si>
  <si>
    <t>Buffer design guidance, native habitat restoration requirements, visual screening standards, and green infrastructure expectations.</t>
  </si>
  <si>
    <t>Which activities are permitted, restricted, or prohibited within buffer areas?</t>
  </si>
  <si>
    <t>Permitted: conservation, habitat restoration, research, education, sustainable eco-tourism. Restricted/prohibited: activities with significant or long-term impacts.</t>
  </si>
  <si>
    <t>To confirm whether temporary, low-intensity, recreational, landscape, or service-related uses can be accommodated.</t>
  </si>
  <si>
    <t>List of permitted/prohibited activities, temporary-use rules, and restrictions on permanent built uses.</t>
  </si>
  <si>
    <t>Are service corridors or buried utilities permitted within buffers if surface conditions are restored?</t>
  </si>
  <si>
    <t>Allowed where no alternatives exist, avoiding sensitive habitats &amp; wadis. Requires environmental studies, IARDA approval, full restoration &amp; monitoring.</t>
  </si>
  <si>
    <t>To understand whether infrastructure can cross or be located within sensitive edge areas.</t>
  </si>
  <si>
    <t>Utility corridor rules, reinstatement requirements, access limitations, and approval conditions.</t>
  </si>
  <si>
    <t>Are any wadis or drainage lines within the project site hydrologically connected to wadi systems within the Royal Reserve</t>
  </si>
  <si>
    <t>Hydrological assessment required. Most wadis originate from Al Urumah Plateau draining to Rawdhat Khuraim. Any connectivity must be identified in planning.</t>
  </si>
  <si>
    <t>To understand whether site drainage may affect reserve hydrology and ecological systems</t>
  </si>
  <si>
    <t>Confirmation of surface and subsurface hydrological connections, wadi linkage maps, and drainage data.</t>
  </si>
  <si>
    <t>If connections exist, which onsite wadis drain toward or originate from reserve wadis, and are these connections episodic or perennial?</t>
  </si>
  <si>
    <t>GIS data to be provided by IARDA.</t>
  </si>
  <si>
    <t>To distinguish storm-driven flows from permanent or recurring ecological/hydrological connections.</t>
  </si>
  <si>
    <t>Specific wadi names/locations, flow direction, flow frequency, and seasonal behavior.</t>
  </si>
  <si>
    <t>Are there mapped catchments or drainage studies used by the Authority that identify cross-boundary wadi linkages?</t>
  </si>
  <si>
    <t>To align PEG hydrology assumptions with the Reserve Authority’s official evidence base.</t>
  </si>
  <si>
    <t>Catchment maps, drainage studies, hydrological models, and approved GIS datasets.</t>
  </si>
  <si>
    <t>Does the Authority consider any wadi features within the project site to function as ecological movement pathways connected to reserve wadis?</t>
  </si>
  <si>
    <t>Yes, wadis function as ecological movement pathways. GIS data to elaborate.</t>
  </si>
  <si>
    <t>To identify whether wadis should be treated as ecological corridors, not only drainage features.</t>
  </si>
  <si>
    <t>Ecological corridor mapping, movement pathway assessment, and priority wadi corridors</t>
  </si>
  <si>
    <t>Is maintaining wadi continuity under roads considered essential where connectivity to the Reserve exists?</t>
  </si>
  <si>
    <t>Yes, essential. Road/infrastructure design must preserve natural water flows, sediment transport &amp; ecological connectivity through appropriate crossings.</t>
  </si>
  <si>
    <t>To guide road crossings, culverts, bridges, and blue-green infrastructure design.</t>
  </si>
  <si>
    <t>Design requirements for crossings, culvert/bridge standards, and continuity protection measures.</t>
  </si>
  <si>
    <t>Is physical continuity of wadi features required, or is functional mitigation such as habitat enhancement elsewhere acceptable?</t>
  </si>
  <si>
    <t>Physical continuity required. No habitat enhancement elsewhere accepted as substitute. Natural hydrological &amp; ecological functions must be maintained.</t>
  </si>
  <si>
    <t>To understand whether impacts must be avoided directly or can be mitigated through enhancement measures.</t>
  </si>
  <si>
    <t>Avoidance requirements, mitigation hierarchy, acceptable compensation measures, and approval criteria.</t>
  </si>
  <si>
    <t>What priority habitats, biodiversity areas, or ecological corridors associated with the Reserve should be considered in PEG planning?</t>
  </si>
  <si>
    <t>All habitats contributing to Reserve connectivity: wadis, catchment areas, wildlife corridors, restoration areas &amp; species conservation habitats.</t>
  </si>
  <si>
    <t>To protect ecological connectivity and avoid impacts on sensitive habitats or species movement.</t>
  </si>
  <si>
    <t>Habitat maps, biodiversity layers, ecological corridor data, sensitive zones, and species movement routes.</t>
  </si>
  <si>
    <t>Does the Authority have records of small mammals, reptiles, or other fauna that may move outside the Reserve boundary via wadis or landscape features?</t>
  </si>
  <si>
    <t>Yes, IARDA maintains biodiversity records. Additional field surveys required during planning phase to identify species &amp; movement patterns.</t>
  </si>
  <si>
    <t>To understand whether PEG may support species movement or occasional fauna spill-over from the Reserve.</t>
  </si>
  <si>
    <t>Species records, wildlife monitoring data, observation reports, and movement patterns.</t>
  </si>
  <si>
    <t>Does the Authority consider the project site a secondary habitat, movement corridor, or occasional spill-over area for reserve fauna?</t>
  </si>
  <si>
    <t>Site may function as secondary habitat &amp; wildlife corridor. Extent to be confirmed through ecological surveys; design must maintain connectivity.</t>
  </si>
  <si>
    <t>To determine the ecological role of PEG in relation to the Reserve.</t>
  </si>
  <si>
    <t>Authority assessment, species sensitivity data, corridor classification, and habitat use evidence.</t>
  </si>
  <si>
    <t>What seasonal restrictions are relevant to this landscape, such as breeding periods or sensitive wildlife seasons?</t>
  </si>
  <si>
    <t>Based on planning-phase surveys. Consider breeding, nesting &amp; migration periods. Activities may be limited during sensitive periods.</t>
  </si>
  <si>
    <t>To inform construction timing, survey requirements, and activity restrictions.</t>
  </si>
  <si>
    <t>Seasonal restriction periods, breeding calendars, survey windows, and construction control requirements.</t>
  </si>
  <si>
    <t>What key considerations should guide the landscape and vegetation strategy, especially within wadis?</t>
  </si>
  <si>
    <t>Strategy required with IARDA approval. Prioritize native habitats, ecological connectivity &amp; natural hydrology. Use native species; avoid invasives.</t>
  </si>
  <si>
    <t>To clarify whether wadi enhancement planting is encouraged or whether wadis should remain largely natural.</t>
  </si>
  <si>
    <t>Native planting guidance, wadi restoration approach, prohibited species, and vegetation management requirements.</t>
  </si>
  <si>
    <t>Are dark-sky lighting standards required across the full project site or only near reserve-facing edges and wadi corridors?</t>
  </si>
  <si>
    <t>Required in buffer areas, reserve-facing boundaries, wadis, catchment areas &amp; wildlife corridors. Minimize light spill, glare &amp; skyglow.</t>
  </si>
  <si>
    <t>To manage light impacts on wildlife while allowing practical urban lighting design.</t>
  </si>
  <si>
    <t>Lighting standards, spatial application zones, lux limits, curfew requirements, and sensitive-area controls.</t>
  </si>
  <si>
    <t>Can stronger construction controls offset lighter operational controls, or vice versa?</t>
  </si>
  <si>
    <t>No trade-offs allowed. Construction and operational controls must be applied independently; stronger controls in one phase don't offset the other.</t>
  </si>
  <si>
    <t>To understand the acceptable balance between construction mitigation and long-term operational management.</t>
  </si>
  <si>
    <t>Construction management requirements, operational controls, monitoring obligations, and mitigation flexibility.</t>
  </si>
  <si>
    <t>Could the project attract pest or feral species or increase pest pressure along the Reserve perimeter?</t>
  </si>
  <si>
    <t>Yes, risk exists. Planning studies must assess and identify prevention measures. Biosecurity &amp; invasive species management plan required with IARDA approval.</t>
  </si>
  <si>
    <t>To avoid creating unintended ecological risks near the Reserve boundary.</t>
  </si>
  <si>
    <t>Pest management guidance, reserve observations, risk factors, and control measures.</t>
  </si>
  <si>
    <t>How should Project East Grant align with the Reserve’s strategic pillars, including protected nature, ecotourism, community engagement, and effective management?</t>
  </si>
  <si>
    <t>Detailed ecological, hydrological &amp; visual impact assessments required. Designs must protect sensitive areas, maintain connectivity &amp; minimize disturbance.</t>
  </si>
  <si>
    <t>To ensure PEG supports the Reserve’s long-term strategic direction rather than creating conflicting development outcomes.</t>
  </si>
  <si>
    <t>Strategic plan, pillar-specific objectives, planning principles, and alignment requirements.</t>
  </si>
  <si>
    <t>Are there existing or planned Reserve management zones that may influence PEG’s future structure plan?</t>
  </si>
  <si>
    <t>Yes, integration required. Coordinate visitor management, research programs &amp; conservation activities. Potential for shared facilities in buffer zones.</t>
  </si>
  <si>
    <t>To ensure the masterplan aligns with the Reserve’s conservation and management direction.</t>
  </si>
  <si>
    <t>Reserve management plan, zoning layers, conservation areas, and future expansion or protection priorities.</t>
  </si>
  <si>
    <t>What type of ecotourism activities are planned within the Reserve, and what is the expected future visitor profile?</t>
  </si>
  <si>
    <t>Joint technical reviews. Formal annual review with IARDA recommended; informal coordination as needed. Document all agreements.</t>
  </si>
  <si>
    <t>To understand whether PEG should plan for complementary visitor-support functions, mobility links, or hospitality uses.</t>
  </si>
  <si>
    <t>Tourism strategy, activity types, visitor profiles, seasonal patterns, and target users.</t>
  </si>
  <si>
    <t>What are the projected visitor numbers for the Reserve in the short, medium, and long term?</t>
  </si>
  <si>
    <t>Graduated response required: no-build zones near sensitive areas, low-impact transitional zones, managed zones further out. Details per site assessment.</t>
  </si>
  <si>
    <t>To assess future demand on access, mobility, public realm, hospitality, parking, and visitor services around PEG.</t>
  </si>
  <si>
    <t>Visitor forecasts, annual targets, peak demand assumptions, and seasonal variation.</t>
  </si>
  <si>
    <t>Will there be designated gateways, access points, or visitor arrival corridors that may influence movement patterns around PEG?</t>
  </si>
  <si>
    <t>Visual impact assessment required. Buildings/infrastructure should be designed to blend with landscape; minimize visibility from Reserve.</t>
  </si>
  <si>
    <t>To coordinate future access, road hierarchy, pedestrian/cycling links, and traffic assumptions.</t>
  </si>
  <si>
    <t>Gateway locations, access strategy, transport corridors, visitor circulation plans, and parking requirements.</t>
  </si>
  <si>
    <t>What coordination, approval, and data-sharing process should PEG follow with the Reserve Authority during future planning stages?</t>
  </si>
  <si>
    <t>Refer to attached 'Project Implementation Guidelines for Royal Reserve' document for detailed requirements &amp; standards.</t>
  </si>
  <si>
    <t>To clarify governance, avoid approval delays, and ensure Reserve requirements are embedded in the structure plan and masterplan update</t>
  </si>
  <si>
    <t>Focal points, review process, approval pathway, required datasets, timelines, and coordination protocol.</t>
  </si>
  <si>
    <t>What is the status of Al Wasie Reserve and what protection requirements apply within or near the project area?</t>
  </si>
  <si>
    <t>not received</t>
  </si>
  <si>
    <t>To define protected land, restrictions, and buffers influencing development</t>
  </si>
  <si>
    <t>Confirmed boundary, status, protection regulations, buffer requirements</t>
  </si>
  <si>
    <t>DMO requires</t>
  </si>
  <si>
    <t>2.What hydrology challenges affect the site?</t>
  </si>
  <si>
    <t>To understand flood risk and land suitability</t>
  </si>
  <si>
    <t>Wadis, drainage paths, flood-prone areas, protection requirements</t>
  </si>
  <si>
    <t>What groundwater-related constraints affect development, and what is the status and permitted use of existing wells?</t>
  </si>
  <si>
    <t>To identify groundwater constraints and regulatory limitations</t>
  </si>
  <si>
    <t>Well locations, status, abstraction limits, protection zones, future well plans</t>
  </si>
  <si>
    <t>What flora and fauna monitoring data is available for the site and surrounding areas?</t>
  </si>
  <si>
    <t>To assess ecological sensitivity and conservation requirements</t>
  </si>
  <si>
    <t>Biodiversity surveys, protected species data, habitat mapping</t>
  </si>
  <si>
    <t>What geotechnical constraints related to wadis, escarpments, or mining areas should be considered?</t>
  </si>
  <si>
    <t>To ensure safe and suitable land development</t>
  </si>
  <si>
    <t>Soil conditions, slope stability, mining zones, engineering constraints</t>
  </si>
  <si>
    <t>Are there any contamination, noise, or waste-related constraints that may impact development?</t>
  </si>
  <si>
    <t>To identify environmental risks affecting land use</t>
  </si>
  <si>
    <t>Contaminated sites, waste facilities, noise sources, mitigation requirements</t>
  </si>
  <si>
    <t>Are there relevant programs or delivery mechanisms supporting infrastructure development?</t>
  </si>
  <si>
    <t>Not yet received from MEWA.
WSP included the data received from the RCRC, including the NWC report, which includes relevant information . Also we sent an email to RCRC with further details on the expected time of impleemntation of water assets. We still need confirmation from MEWA on the latest information regarding these assets and the strategy for the site.</t>
  </si>
  <si>
    <t>To understand implementation and funding pathways</t>
  </si>
  <si>
    <t>Programs, responsibilities, funding sources, delivery plans</t>
  </si>
  <si>
    <t>How should Project East Grant align with water resource management, environmental protection, and sustainability frameworks?</t>
  </si>
  <si>
    <t>To ensure compliance with national policies and achieve long-term resilience</t>
  </si>
  <si>
    <t>Relevant frameworks, regulatory requirements, sustainability targets, alignment expectations</t>
  </si>
  <si>
    <t>Can MEWA verify and confirm the proposed KPIs for the future masterplan?</t>
  </si>
  <si>
    <t>To validate performance metrics and ensure alignment with MEWA priorities</t>
  </si>
  <si>
    <t>KPI validation, target benchmarks, performance indicators, monitoring requirements</t>
  </si>
  <si>
    <t>What is MEWA’s strategy for TSE (treated sewage effluent) utilization, including centralized vs. decentralized treatment approaches? Are there any constraints or concerns regarding the proposed waste treatment facility within the site?</t>
  </si>
  <si>
    <t>Not yet received from MEWA. We still need confirmation from MEWA on the latest information regarding these assets and the strategy for the site.</t>
  </si>
  <si>
    <t>To confirm irrigation sustainability strategy and assess implications on infrastructure planning and development phasing</t>
  </si>
  <si>
    <t>TSE strategy, treatment approach (centralized/decentralized), reuse requirements, constraints on waste treatment facility location and operations</t>
  </si>
  <si>
    <t>What is the timeline and priority for NWC water and wastewater assets, and has the referenced phasing been validated?</t>
  </si>
  <si>
    <t>What is the status, location, and protection requirement of existing wells, and are there any future wells planned within or near the site?</t>
  </si>
  <si>
    <t>What groundwater use is permitted for irrigation, including restrictions, limitations, and allowable abstraction rates?</t>
  </si>
  <si>
    <t>What existing or planned utilities serve the site, including potable water, wastewater, irrigation, or treated sewage effluent (TSE)?</t>
  </si>
  <si>
    <t>Not received yet.
WSP has included the data received from the RCRC, including the NWC report, which contains the proposed sewage and potable water network assets. However, the MEWA to share the available information a related to this site to confirm.</t>
  </si>
  <si>
    <t xml:space="preserve">Are there any strategic transmission lines from the Eastern Region crossing the site, and how can conflicts with future development be avoided?
</t>
  </si>
  <si>
    <t>What existing energy infrastructure currently serves or crosses Project East Grant?</t>
  </si>
  <si>
    <t>To establish the confirmed infrastructure baseline and identify fixed planning constraints.</t>
  </si>
  <si>
    <t>GIS layers, asset locations, ownership, operational status, and corridor alignments.</t>
  </si>
  <si>
    <t>What are the confirmed alignment, protection requirements, and exclusion zone widths for the Saudi Aramco pipeline?</t>
  </si>
  <si>
    <t>To define fixed infrastructure constraints and avoid conflict with land use, roads, and parcels.</t>
  </si>
  <si>
    <t>Official pipeline alignment, exclusion zone width, setback requirements, permitted/prohibited activities.</t>
  </si>
  <si>
    <t>What protection requirements apply around power transmission corridors and substations?</t>
  </si>
  <si>
    <t>To define developable areas and safety constraints.</t>
  </si>
  <si>
    <t>Setback rules, safety standards, clearance requirements, and access requirements.</t>
  </si>
  <si>
    <t>Are any future energy corridors or strategic projects required to be safeguarded within or near Project east grant?</t>
  </si>
  <si>
    <t>To avoid conflict with future infrastructure and prevent redesign.</t>
  </si>
  <si>
    <t>Future corridor plans, expansion requirements, and safeguarding guidance.</t>
  </si>
  <si>
    <t>Are road crossings, utility crossings, or development interfaces permitted within the Aramco pipeline corridor?</t>
  </si>
  <si>
    <t>To understand whether the corridor can be integrated or must be fully avoided.</t>
  </si>
  <si>
    <t>Crossing conditions, technical protection measures, approval process, and maintenance access requirements.</t>
  </si>
  <si>
    <t>What land uses are permitted, restricted, or prohibited within infrastructure buffers?</t>
  </si>
  <si>
    <t>To guide land use allocation in constrained areas.</t>
  </si>
  <si>
    <t>Compatible land use guidance, activity restrictions, and development control rules.</t>
  </si>
  <si>
    <t>Can low-impact uses such as open space, landscaping, parking, or service roads be located within buffer areas?</t>
  </si>
  <si>
    <t>To optimize land use while respecting safety requirements.</t>
  </si>
  <si>
    <t>Permitted use list, design conditions, and operational restrictions.</t>
  </si>
  <si>
    <t>Are temporary construction activities allowed near pipeline or power corridors?</t>
  </si>
  <si>
    <t>To inform phasing, construction logistics, and risk management.</t>
  </si>
  <si>
    <t>Construction control requirements, temporary access rules, and permit conditions.</t>
  </si>
  <si>
    <t>What demand assumptions should Project east grant 
 adopt for future electricity servicing?</t>
  </si>
  <si>
    <t>To align future development with realistic capacity planning.</t>
  </si>
  <si>
    <t>Load assumptions, demand criteria, capacity guidance, and planning standards.</t>
  </si>
  <si>
    <t>Are new substations, grid reinforcement, or transmission upgrades expected to serve Project east grant?</t>
  </si>
  <si>
    <t>To identify land requirements and delivery dependencies.</t>
  </si>
  <si>
    <t>Planned upgrades, substation requirements, reinforcement strategy, and phasing assumptions.</t>
  </si>
  <si>
    <t>What is the preferred servicing approach for future development areas?</t>
  </si>
  <si>
    <t>To shape the infrastructure strategy and sequencing</t>
  </si>
  <si>
    <t>Network hierarchy, servicing principles, delivery approach, and technical requirements.</t>
  </si>
  <si>
    <t xml:space="preserve">Renewable and sustainability road maps and targets to be adopted. </t>
  </si>
  <si>
    <t xml:space="preserve">To align PEG with national frameworks. </t>
  </si>
  <si>
    <t>Renewable Energy targets/constraints, RE road maps, focal points (departments/authorities) for further coordination, applicable guidelines, Etc</t>
  </si>
  <si>
    <t>What coordination and approval pathway should Project east grant 
To follow with the Ministry of Energy and related entities?</t>
  </si>
  <si>
    <t>To avoid delays and ensure correct engagement sequence.</t>
  </si>
  <si>
    <t>Focal points, review process, approval pathway, and timelines.</t>
  </si>
  <si>
    <t>What datasets should be formally provided to support the masterplan update?</t>
  </si>
  <si>
    <t>To ensure all planning assumptions are evidence-based.</t>
  </si>
  <si>
    <t>GIS data, technical standards, asset information, future plans, and restrictions.</t>
  </si>
  <si>
    <t>Are additional technical studies required before confirming land use options?</t>
  </si>
  <si>
    <t>To strengthen the masterplan and reduce implementation risk</t>
  </si>
  <si>
    <t>Required studies, scope, responsible entities, and timing.</t>
  </si>
  <si>
    <t>What are the key risks the project should address early from an energy infrastructure perspective?</t>
  </si>
  <si>
    <t>To manage delivery, safety, and feasibility risks.</t>
  </si>
  <si>
    <t>Risk register inputs, mitigation requirements, and critical coordination issues.</t>
  </si>
  <si>
    <t>Can the red pipeline exclusion zone be recognised in the Structure Plan as a controlled, non-developable open area, without public access?</t>
  </si>
  <si>
    <t>This clarifies whether the land can contribute to the spatial/open-space framework without conflicting with safety restrictions.</t>
  </si>
  <si>
    <t>Confirmation of acceptable terminology, access restrictions, and any prohibited landscape or public-realm treatments.</t>
  </si>
  <si>
    <t>Is there any policy or technical intention to reduce, rationalise, or reclassify the current pipeline protection zone widths over time?</t>
  </si>
  <si>
    <t>The current red/orange/yellow buffer widths significantly affect land suitability and the overall structure plan.</t>
  </si>
  <si>
    <t>Confirmation whether the 500m / 400m / 350m zones are fixed, provisional, or subject to technical review.</t>
  </si>
  <si>
    <t>What technical criteria would need to be met to consider a narrower protection zone, based on global precedents or local risk standards?</t>
  </si>
  <si>
    <t>This turns the question from “can we reduce it?” into a professional risk-based discussion.</t>
  </si>
  <si>
    <t>Risk criteria, pipeline pressure/diameter/depth data, land-use sensitivity rules, emergency access standards, and approval requirements.</t>
  </si>
  <si>
    <t>Since RCRC is responsible for determining suitable land uses across the three zones, what safety and operational constraints should MoE / Saudi Aramco provide to guide RCRC’s land-use decision?</t>
  </si>
  <si>
    <t>This aligns with the joint committee outcome and avoids implying that MoE is the land-use approving authority.</t>
  </si>
  <si>
    <t>Permitted / restricted / prohibited activities, maintenance access, crossing controls, emergency-response requirements.</t>
  </si>
  <si>
    <t>Are passive landscape, ecological corridors, drainage corridors, service roads, or restricted-access green buffers acceptable within the pipeline protection zones?</t>
  </si>
  <si>
    <t>This helps convert constrained land into planned, useful, but safe infrastructure landscape.</t>
  </si>
  <si>
    <t>List of compatible uses, design conditions, fencing/access requirements, and maintenance controls.</t>
  </si>
  <si>
    <t>Is there an existing intention to convert the high-voltage overhead transmission lines within Project East Grant to underground cables or reroute them? If yes, when and under which programme?</t>
  </si>
  <si>
    <t>The overhead lines affect visual quality, land efficiency, development flexibility, and phasing.</t>
  </si>
  <si>
    <t>Programme status, timeframe, responsible entity, funding responsibility, and interim planning assumptions</t>
  </si>
  <si>
    <t>What existing or planned infrastructure projects within or around Project East Grant should be reflected in the Structure Plan?</t>
  </si>
  <si>
    <t>To avoid conflicts with current or future infrastructure works.</t>
  </si>
  <si>
    <t>Confirmed project list, GIS layers, corridors, and delivery timelines.</t>
  </si>
  <si>
    <t>What protected corridors, rights-of-way, utility reservations, or construction restrictions must be safeguarded in the master plan?</t>
  </si>
  <si>
    <t>To ensure compliance and avoid planning over restricted infrastructure areas.</t>
  </si>
  <si>
    <t>ROW requirements, buffer zones, restrictions, and applicable standards.</t>
  </si>
  <si>
    <t>What RIPC standards, guidelines, or regulatory requirements should guide infrastructure planning for Project East Grant?</t>
  </si>
  <si>
    <t>To align the project with RIPC’s regulatory and technical expectations from the outset.</t>
  </si>
  <si>
    <t>Relevant standards, design guidelines, submission requirements, and review criteria</t>
  </si>
  <si>
    <t>What are the key infrastructure conflicts or risks RIPC expects the project team to address early?</t>
  </si>
  <si>
    <t>To reduce redesign, delays, and implementation risks.</t>
  </si>
  <si>
    <t>List of known conflicts, critical interfaces, and recommended mitigation approach.</t>
  </si>
  <si>
    <t>What is the required process for coordinating with service providers and resolving cross-entity infrastructure issues?</t>
  </si>
  <si>
    <t>To clarify roles, responsibilities, escalation routes, and decision-making.</t>
  </si>
  <si>
    <t>Coordination process, priority entities, escalation path, and responsible focal points.</t>
  </si>
  <si>
    <t>What approvals, permits, no-objection requirements, or review checkpoints are required before finalising the Structure Plan?</t>
  </si>
  <si>
    <t>To ensure the planning process is aligned with RIPC’s approval pathway.</t>
  </si>
  <si>
    <t>Approval sequence, submission package, review stages, and expected outputs.</t>
  </si>
  <si>
    <t>How should infrastructure delivery and project phasing be aligned with RIPC’s planned programmes and citywide infrastructure priorities?</t>
  </si>
  <si>
    <t>To ensure the project is deliverable and phased realistically.</t>
  </si>
  <si>
    <t>Infrastructure programme, dependencies, phasing assumptions, and priority projects.</t>
  </si>
  <si>
    <t>Ministry of Transport &amp; Logistics Services</t>
  </si>
  <si>
    <t>What are the confirmed alignment, capacity, and upgrade plans for Rumah, Dammam, and Al Khurais Roads?</t>
  </si>
  <si>
    <t>Response received</t>
  </si>
  <si>
    <t>To define fixed transport constraints, avoid congestion bottlenecks, and plan for redundancy and freight segregation.</t>
  </si>
  <si>
    <t>GIS layers, official road alignment, capacity studies, planned upgrades, and phasing schedules.</t>
  </si>
  <si>
    <t>Is re‑alignment of the proposed railway expansion line (Riyadh – Dammam line) possible if designated for freight, or can the current alignment be adapted to leverage passenger connectivity (e.g., integration with Q‑Express)</t>
  </si>
  <si>
    <t>To determine whether the corridor should be safeguarded for freight logistics or optimized for passenger services. This decision directly affects site accessibility, multimodal integration, and long‑term phasing of transport infrastructure.</t>
  </si>
  <si>
    <t>Official guidance on railway alignment flexibility, freight vs. passenger designation, safeguarding requirements, way‑leave approvals, and integration plans with Q‑Express and wider Riyadh mobility network.</t>
  </si>
  <si>
    <t>Can the 3rd Ring road be extended to the site to provide opportunities for further connection to Project Grant site?</t>
  </si>
  <si>
    <t>Extending the 3rd ring road would provides stronger vehicular and multimodal access, reducing reliance on Dammam road.</t>
  </si>
  <si>
    <t>Official guidance on 3rd ring road alignment feasibility, integration with existing masterplans, right‑of‑way availability, phasing timelines, integration with existing corridors</t>
  </si>
  <si>
    <t>Are any further future mobility corridors or strategic projects required to be safeguarded within or near Project east grant?</t>
  </si>
  <si>
    <t>To avoid conflict with future infrastructure and prevent redesign</t>
  </si>
  <si>
    <t>Is Project East Grant within MOMAH’s jurisdiction, and what parts of the site are owned, managed, or overseen by MOMAH?</t>
  </si>
  <si>
    <t>To clarify the Ministry’s role, land responsibility, and the applicable planning authority.</t>
  </si>
  <si>
    <t>Ownership records, jurisdiction boundaries, custodianship responsibilities, and land administration status.</t>
  </si>
  <si>
    <t>What approved plans, designated areas, or previous planning decisions already apply within the site?</t>
  </si>
  <si>
    <t>To understand the existing planning baseline and avoid conflict with prior approvals or designations.</t>
  </si>
  <si>
    <t>Approved plans, zoning maps, designated land uses, previous approvals, and planning history</t>
  </si>
  <si>
    <t>Are there any adjacent MOMAH-led or municipally approved projects outside the site that Project East Grant should consider?</t>
  </si>
  <si>
    <t>To ensure the masterplan responds to surrounding growth, interface conditions, and future dependencies.</t>
  </si>
  <si>
    <t>Pipeline projects, adjacent development plans, reserved lands, and future road or service corridors.</t>
  </si>
  <si>
    <t>What land uses, densities, heights, and plot controls are permitted within the site?</t>
  </si>
  <si>
    <t>To define development capacity and ensure compliance with planning regulations.</t>
  </si>
  <si>
    <t>Zoning regulations, development control parameters, density ranges, height limits, and plot controls.</t>
  </si>
  <si>
    <t>What urban design, public realm, and street design standards should guide the masterplan?</t>
  </si>
  <si>
    <t>To guide urban form, street hierarchy, public realm quality, and built-form outcomes</t>
  </si>
  <si>
    <t>Urban design guidelines, street standards, public realm requirements, code manuals, and reference sections.</t>
  </si>
  <si>
    <t>Are there specific requirements for community facilities, open space, or housing provision that should be reflected in the plan?</t>
  </si>
  <si>
    <t>To align the masterplan with municipal and housing objectives and ensure adequate service provision.</t>
  </si>
  <si>
    <t>Community facility standards, open space requirements, housing standards, and service benchmarks.</t>
  </si>
  <si>
    <t>If MOMAH retains responsibility for parts of the site, how will land, public realm, and infrastructure operation and management be handled? If not, which authority would assume this responsibility?</t>
  </si>
  <si>
    <t>To clarify long-term governance, operation, maintenance, and handover responsibilities.</t>
  </si>
  <si>
    <t>Operation and maintenance model, transfer arrangements, responsible entities, and handover conditions.</t>
  </si>
  <si>
    <t>How should infrastructure planning be coordinated with MOMAH, and with which infrastructure authorities should alignment be established?</t>
  </si>
  <si>
    <t>To ensure alignment between land use planning, municipal service delivery, and implementation feasibility.</t>
  </si>
  <si>
    <t>Infrastructure standards, service coverage requirements, thresholds, coordination inputs, and authority interfaces.</t>
  </si>
  <si>
    <t>Is there a required phasing framework for approved development areas?</t>
  </si>
  <si>
    <t>To enable viable phasing strategies and avoid delivery or occupancy constraints.</t>
  </si>
  <si>
    <t>Phasing guidance, sequencing rules, infrastructure trigger requirements, and milestone conditions.</t>
  </si>
  <si>
    <t>What is the approval pathway for Project East Grant, and which submissions, reviews, and endorsements are required from MOMAH?</t>
  </si>
  <si>
    <t>To define approval stages, responsibilities, and realistic programme timelines.</t>
  </si>
  <si>
    <t>Approval flowcharts, authority roles, submission requirements, review timelines, and dependencies.</t>
  </si>
  <si>
    <t>What inputs, documents, and compliance confirmations are required from MOMAH for the masterplan update and statutory endorsement?</t>
  </si>
  <si>
    <t>To ensure the masterplan is aligned, approvable, and ready for statutory submission.</t>
  </si>
  <si>
    <t>Required drawings, reports, policy confirmations, compliance statements, and endorsement inputs.</t>
  </si>
  <si>
    <t>Are there any specific implementation conditions, municipal commitments, or statutory reservations that should shape the final masterplan?</t>
  </si>
  <si>
    <t>To identify any hidden constraints or commitments that may affect delivery, coordination, or land availability.</t>
  </si>
  <si>
    <t>Reserved land requirements, implementation conditions, municipal commitments, and special approval requirements.</t>
  </si>
  <si>
    <t>Wadi Al-Sulai Project Team</t>
  </si>
  <si>
    <t>Is it Possible to Divert Wadi alignments in some scenarios?
متى يلزم تحويل مسارات الأودية في بعض الحالات وما التحديات التي واجهتها الأمانة؟</t>
  </si>
  <si>
    <t>Clarified in meeting</t>
  </si>
  <si>
    <t>What is the Wadi Al Sulai buffer from the slope crest, does it follow the 25m standard used in Wadi Hanifah, or is it determined by flooding depth?
ما هو نطاق الحمى في وادي السلي من حافة الوادي،و هل يتم تحديدها من خلال عمق الفيضان؟</t>
  </si>
  <si>
    <t>How are crossings and constraints managed (roads, culverts, utilities) to keep drainage continuity?
كيف تتم إدارة التقاطعات والقيود (الطرق، والعبارات، والمرافق) للحفاظ على استمرارية الصرف؟</t>
  </si>
  <si>
    <t>What measures were considered to protect biodiversity and maintain sustainable ecological linkages between habitats across different areas?
ما هي التدابير التي تم النظر فيها لحماية التنوع البيولوجي والحفاظ على الروابط البيئية المستدامة</t>
  </si>
  <si>
    <t>Who are the involved entities and what is the decision pathway (committee, approvals, escalation)?
 من هي الجهات المعنية وما هو مسار اتخاذ القرار</t>
  </si>
  <si>
    <t>East grant needs clear governance to reduce delays and avoid fragmented decisions.
يحتاج مشروع منح شرق إلى حوكمة واضحة للحد من التأخيرات وتجنب القرارات المجزأة.</t>
  </si>
  <si>
    <t>Governance chart, committee structure, escalation matrix, authority list.
الهيكل الحوكمي و ادوار الجهات المهنية</t>
  </si>
  <si>
    <t>How are encroachments identified, recorded, and classified (type, severity, flood depth, buffers, etc.)?
كيف يتم تحديد التعديات وتسجيلها وتصنيفها (عمق الفيضان، والمناطق العازلة، وما إلى ذلك)؟</t>
  </si>
  <si>
    <t>Enables a defensible case registry and prioritisation for large volumes.
لتعريف قطع الأراضي المنتهكة للأودية التي تتطلب نزعها و نقلها</t>
  </si>
  <si>
    <t>Surveying method of encroachments.
طريقة حصر القطع المتقاطعة مع الأودية.</t>
  </si>
  <si>
    <t>What is the end-to-end workflow for removals (notice → deadline → enforcement → closure)?
ما هي آلية العمل الكاملة لعمليات النزع (الإشعار، الموعد النهائي للإخلاء، التنفيذ)؟</t>
  </si>
  <si>
    <t>Provides a practical operation procedure that East Grant can adapt for consistent lawful implementation.
يوفر إجراءً عملياً يمكن لمشروع منح شرق تكييفه من أجل التنفيذ القانوني المتسق.</t>
  </si>
  <si>
    <t>Process operation, notice templates, timeframes, closure criteria.
عملية التشغيل، الأطر الزمنية، حتى إتمام عملية النزع.</t>
  </si>
  <si>
    <t>How are ownership claims handled when overlapping the corridor (permits, titles, informal uses)?
كيف يتم التعامل مع النوعيات المختلفة لأوضاع الملكية للأراضي أو المنشئات عند تداخل الممر (التصاريح، الصكوك، التعديات)؟</t>
  </si>
  <si>
    <t>Reduces disputes and clarifies when restriction vs removal is legally feasible.
يقلل من النزاعات ويوضح متى يكون التقييد مقابل الإزالة ممكناً من الناحية القانونية.</t>
  </si>
  <si>
    <t>Policy approach, dispute scenarios, coordination points with legal/land entities.
سياسات التعامل المختلفة، سيناريوهات النزاع، نقاط التنسيق مع الكيانات القانونية/الأراضي.</t>
  </si>
  <si>
    <t>What sequencing logic was applied (protect corridor first, infrastructure first, then activation)?
ما هو منطق التسلسل الذي تم تطبيقه (حماية الممر أولاً، ثم البنية التحتية أولاً، ثم التفعيل)؟</t>
  </si>
  <si>
    <t>Informs East Grant phasing triggers and prevents rework or re-occupation.
يُبلغ هذا النظام منطقة مشروع منح شرق إ بمراحل التنفيذ ويمنع إعادة العمل أو إعادة شغل الموقع</t>
  </si>
  <si>
    <t>Phasing plan, triggers between phases, lessons learned on delays.
خطة التنفيذ و مرحاله، والمحفزات بين المراحل، والدروس المستفادة من التأخيرات.</t>
  </si>
  <si>
    <t>Who is responsible for O&amp;M and preventing re-encroachment after delivery (monitoring, inspections, contracts)?
من المسؤول عن التشغيل والصيانة ومنع التعدي مرة أخرى بعد التسليم (المراقبة، عمليات التفتيش، العقود)؟</t>
  </si>
  <si>
    <t>Long-term performance depends on clear ownership, funding, and enforcement.
يعتمد الأداء على المدى الطويل على الملكية الواضحة والتمويل والتنفيذ.</t>
  </si>
  <si>
    <t>O&amp;M ownership model, monitoring regime, enforcement approach, KPIs (if any).
هيكل التشغيل والصيانة، ونظام المراقبة، ونهج الإنفاذ.</t>
  </si>
  <si>
    <t>Riyadh Municipality - General Directorate of Stormwater Networks</t>
  </si>
  <si>
    <t>How the detention storage ponds works in VI-A section. Is it a combination of local runoff + diverted wadi flow.</t>
  </si>
  <si>
    <t>18/06/2026</t>
  </si>
  <si>
    <t>The inlet mechanism from the wadi to the ponds is not described, making it unclear . such as
- At what water level diversion starts.
- how much flow is diverted,
- whether diversion occurs only during floods of 100 yrs  or also during minor events.</t>
  </si>
  <si>
    <t>Details about how the proposed detention storage works. Any drawings regarding how this ponds works together as a system, series, cascaded.</t>
  </si>
  <si>
    <t>The report doesn't inform the ground water tables and infiltration capacity of soil. Is that VI-A catchment is suitable for  ground water recharge and detention storage</t>
  </si>
  <si>
    <t>Waterlogging observed during dry season site visits indicates limited soil infiltration capacity. A preliminary assessment is required to evaluate pond behaviour post-storm events. While pond storage may attenuate peak flows in the wadi, infiltration is likely to be slow, and evaporation effects should also be considered.</t>
  </si>
  <si>
    <t>Any such study report for the region/soil investigation report.</t>
  </si>
  <si>
    <t>Why has no clear flood mitigation strategy been proposed for Wadis V3, V4, and V5, despite these channels being designed to convey very high peak discharges (up to 100 m³/s) for Wadi V4?</t>
  </si>
  <si>
    <t>Report does not clearly articulate a flood mitigation philosophy beyond channel conveyance for V4.</t>
  </si>
  <si>
    <t>Are any alternative mitigation strategies evaluated? </t>
  </si>
  <si>
    <t>While assessments are presented for both 10‑year and 100‑year return periods, the report does not clearly specify the governing design storm. Please confirm the final adopted storm event ( 100 yrs?)used for sizing the key drainage infrastructure..</t>
  </si>
  <si>
    <t>Drainage Systems are designed for certain storm Return Periods, bigger storm can cause infrastructure damage/ overtopping/ flooding</t>
  </si>
  <si>
    <t>Please confirm</t>
  </si>
  <si>
    <t>Why the integration of Wadi V2 within the overall drainage network is not clearly described</t>
  </si>
  <si>
    <t>Missing link</t>
  </si>
  <si>
    <t>What criteria need to be used for fixing the buffers for Wadi?</t>
  </si>
  <si>
    <t>To establish the natural constraints for protecting wadis and go for a sustainable development.</t>
  </si>
  <si>
    <t>Any policy documents/ references comprising the methodology for fixing the wadi buffers</t>
  </si>
  <si>
    <t>Any most recent update on Hydrology study covering entire PEG?</t>
  </si>
  <si>
    <t>To update our baseline study</t>
  </si>
  <si>
    <t>Any hydrology model files, documents and GIS layers</t>
  </si>
  <si>
    <t xml:space="preserve"> Location of Existing storm water infrastructure (Culvert, Bridges, Rioadside drains etc.) and flood management system available in East Grant?</t>
  </si>
  <si>
    <t>Not received the data as discussed in the meeting</t>
  </si>
  <si>
    <t>GIS Data</t>
  </si>
  <si>
    <t>To understand the existing models and constraints</t>
  </si>
  <si>
    <t>Any layers on Existing Storm Water drainage infrastructure</t>
  </si>
  <si>
    <t>Any past flood affected locations identified in PEG?</t>
  </si>
  <si>
    <t>Not available</t>
  </si>
  <si>
    <t>To validate the study which we have done as part of Baseline</t>
  </si>
  <si>
    <t>Requirement of Terrain Survey Data/ DEM</t>
  </si>
  <si>
    <t>Data Receieved but it is too old and suitable for PEG study</t>
  </si>
  <si>
    <t>24/06/2026</t>
  </si>
  <si>
    <t>Point data in CAD</t>
  </si>
  <si>
    <t>To integrate any ongoing study with project east grant reports</t>
  </si>
  <si>
    <t>Terrain Survey Data/ DEM</t>
  </si>
  <si>
    <t>Requirement of High Resolution Photographs (if available)</t>
  </si>
  <si>
    <t>High Resolution photographs to understand the study area in more detail</t>
  </si>
  <si>
    <t>High Resolution photography</t>
  </si>
  <si>
    <t>Requirement of Hydrology and Hydraulic model files</t>
  </si>
  <si>
    <t>Model files</t>
  </si>
  <si>
    <t>To integrate the latest data with project east grant reports</t>
  </si>
  <si>
    <t xml:space="preserve">Hydrology and Hydraulic models like, HEC-HMS, HEC-RAS 1D, Culvert Master, FlowMaster used for Amanah </t>
  </si>
  <si>
    <t>Request for information to understand the extent and implications of the mineral resources of current and future development, Information includes the following:
• The extent of silica reserve areas and its effect for the project development
• Constraints related to mining or protection requirements
• Potential opportunities for industrial use
• Mining plans for surface quarries and underground mines (existing and planned)
• Mining depths
• Current status of mines (active, inactive, or backfilled)</t>
  </si>
  <si>
    <t>To undersatnd the future plans of mining development and current constraints for project devemlopment.</t>
  </si>
  <si>
    <t>Ministry of Industry and Mineral Resources analysis of the project data against mining plans and their support to provide the required information in applicable formats (CAD DWG, PDF, GIS layer, etc…)</t>
  </si>
  <si>
    <t>Stakeholder Follow-up Status</t>
  </si>
  <si>
    <t>Summary of the latest update, follow-up status, and next action for each stakeholder</t>
  </si>
  <si>
    <t>Latest Update / Current Status</t>
  </si>
  <si>
    <t>Follow-up Status</t>
  </si>
  <si>
    <t>Next Action</t>
  </si>
  <si>
    <t>The latest meeting concerned legal issues, and an invitation was sent for them to attend the meeting with the Ministry of Municipalities and Housing and Riyadh Municipality.</t>
  </si>
  <si>
    <t>No follow-up currently required</t>
  </si>
  <si>
    <t>—</t>
  </si>
  <si>
    <t>Riyadh Plan</t>
  </si>
  <si>
    <t>The centers maps and other useful information were received, and the received maps were aligned with the project maps.</t>
  </si>
  <si>
    <t>The latest meeting was held at the end of July, and it was agreed to hold regular coordination meetings. The Ministry's Content Percentage was also updated.</t>
  </si>
  <si>
    <t>Follow up later</t>
  </si>
  <si>
    <t>All updates will be shared with them during the third coordination meeting after Stage 3 approval.</t>
  </si>
  <si>
    <t>Riyadh Municipality – Planning Department</t>
  </si>
  <si>
    <t>A meeting was held with them at the end of July in the presence of the Ministry of Municipalities and Housing. Several queries were raised, but no responses have been received yet.</t>
  </si>
  <si>
    <t>Follow-up completed ON 24 AUG</t>
  </si>
  <si>
    <t>Complete the data review and identify any gaps or further coordination requirements</t>
  </si>
  <si>
    <t>Riyadh Municipality – Wadis Department</t>
  </si>
  <si>
    <t>The requested files were received, but they are incomplete. They were contacted on 16 August to provide the missing information.</t>
  </si>
  <si>
    <t>Awaiting response</t>
  </si>
  <si>
    <t>Wait for their response and follow up as needed.</t>
  </si>
  <si>
    <t>MEWA – Ministry of Environment, Water and Agriculture</t>
  </si>
  <si>
    <t>Further coordination is required to obtain the requested information.</t>
  </si>
  <si>
    <t>Follow-up required</t>
  </si>
  <si>
    <t>Coordinate with the Data Management/Exchange Office (DMO).</t>
  </si>
  <si>
    <t>Update / Notes: The requested data was received on 19 August and is currently being reviewed by the Wet &amp; Dry Utilities team.</t>
  </si>
  <si>
    <t>Under review – no follow-up required at this stage</t>
  </si>
  <si>
    <t>Update / Notes: The requested data was received on 19 August and is currently being reviewed by the team.</t>
  </si>
  <si>
    <t>Ministry of Municipalities and Housing (MOMAH)</t>
  </si>
  <si>
    <t>A meeting was held at the end of July in the presence of Riyadh Municipality. Several points were raised, but no responses have been received yet.</t>
  </si>
  <si>
    <t>They cannot currently be contacted despite the need for important information from the Ministry due to legal constraints. The matter has been recorded in the Risk Register.</t>
  </si>
  <si>
    <t>On hold due to a legal constraint</t>
  </si>
  <si>
    <t>Continue monitoring the matter through the Risk Register until the legal constraint is resolved.</t>
  </si>
  <si>
    <t>They were contacted at the end of July to clarify several points, but no response has been received yet.</t>
  </si>
  <si>
    <t>Follow up with them on 20 August.</t>
  </si>
  <si>
    <t>The requested files were received from the Ministry.</t>
  </si>
  <si>
    <t>Ministry of Transport and Logistics Services</t>
  </si>
  <si>
    <t>The requested files were received.</t>
  </si>
  <si>
    <t>A second coordination meeting is required after Stage 3 approval.</t>
  </si>
  <si>
    <t>Post-Meeting Scenario Planning</t>
  </si>
  <si>
    <t>Best-case, most-likely and worst-case outcomes are defined for high-priority Stage 4 stakeholder meetings.</t>
  </si>
  <si>
    <t>Scenario</t>
  </si>
  <si>
    <t>Expected Outcome</t>
  </si>
  <si>
    <t>Data / Decisions Obtained</t>
  </si>
  <si>
    <t>Impact on Stage 4 Programme</t>
  </si>
  <si>
    <t>Next Step</t>
  </si>
  <si>
    <t>Mitigation / Escalation</t>
  </si>
  <si>
    <t>Best-Case</t>
  </si>
  <si>
    <t>Clear confirmation that the Stage 3 aligns with Riyadh Plan direction</t>
  </si>
  <si>
    <t>Site role, centres hierarchy and transport logic</t>
  </si>
  <si>
    <t>Reduces rework and provides defensible planning basis</t>
  </si>
  <si>
    <t>Incorporate comments into structure plan</t>
  </si>
  <si>
    <t>None required</t>
  </si>
  <si>
    <t>Most-Likely</t>
  </si>
  <si>
    <t>General alignment with specific comments to refine</t>
  </si>
  <si>
    <t>Comments on centres and network assumptions</t>
  </si>
  <si>
    <t>Minor edits before structure plan freeze</t>
  </si>
  <si>
    <t>Update design log</t>
  </si>
  <si>
    <t>Track comments with RCRC</t>
  </si>
  <si>
    <t>Worst-Case</t>
  </si>
  <si>
    <t>Riyadh Plan direction conflicts with current Stage 4 assumptions</t>
  </si>
  <si>
    <t>No clear decision or preference</t>
  </si>
  <si>
    <t>Major redesign risk</t>
  </si>
  <si>
    <t>Escalate to RCRC leadership</t>
  </si>
  <si>
    <t>Prepare options impact note</t>
  </si>
  <si>
    <t>MoE / SEC / National Grid / Aramco</t>
  </si>
  <si>
    <t>Pipeline, power and cost-review requirements confirmed</t>
  </si>
  <si>
    <t>GIS layers, buffers, demand review route</t>
  </si>
  <si>
    <t>Dry utility assumptions can be integrated early</t>
  </si>
  <si>
    <t>Update constraints and cost model</t>
  </si>
  <si>
    <t>Maintain three-week cadence</t>
  </si>
  <si>
    <t>MoE confirms review process but data remains partially open</t>
  </si>
  <si>
    <t>Preliminary constraints and action list</t>
  </si>
  <si>
    <t>Proceed with assumptions but flag risk</t>
  </si>
  <si>
    <t>Submit formal RFI</t>
  </si>
  <si>
    <t>Escalate overdue items</t>
  </si>
  <si>
    <t>No data or no permission to share Royal Orders/affected lands</t>
  </si>
  <si>
    <t>No buffers or demand data</t>
  </si>
  <si>
    <t>Cost/dry utility validation delayed</t>
  </si>
  <si>
    <t>Escalate through RCRC and Committee No.85</t>
  </si>
  <si>
    <t>Use conservative buffers and assumptions</t>
  </si>
  <si>
    <t>Riyadh Municipality - Stormwater / Wadi</t>
  </si>
  <si>
    <t>HEC data and wadi buffer principles are confirmed</t>
  </si>
  <si>
    <t>Models, culvert info, spot levels, buffer approach</t>
  </si>
  <si>
    <t>2D model and land-use freeze proceed on time</t>
  </si>
  <si>
    <t>Update hydrology model and developable land map</t>
  </si>
  <si>
    <t>No escalation</t>
  </si>
  <si>
    <t>Partial data received; old data caveats remain</t>
  </si>
  <si>
    <t>Some models/reports and limitations</t>
  </si>
  <si>
    <t>Proceed with documented assumptions</t>
  </si>
  <si>
    <t>Validate and request missing items</t>
  </si>
  <si>
    <t>RCRC follow-up</t>
  </si>
  <si>
    <t>No shareable data and no confirmed buffer approach</t>
  </si>
  <si>
    <t>None or unusable data</t>
  </si>
  <si>
    <t>High risk to structure plan and EIA</t>
  </si>
  <si>
    <t>Escalate to Amanah senior sponsor</t>
  </si>
  <si>
    <t>Use independent modelling and conservative buffers</t>
  </si>
  <si>
    <t>MEWA / SIO</t>
  </si>
  <si>
    <t>Environmental and water constraints confirmed</t>
  </si>
  <si>
    <t>Environmental datasets and approval route</t>
  </si>
  <si>
    <t>EIA scope becomes clearer</t>
  </si>
  <si>
    <t>Integrate into EIA and structure plan</t>
  </si>
  <si>
    <t>None</t>
  </si>
  <si>
    <t>MEWA provides high-level direction only</t>
  </si>
  <si>
    <t>Key requirements but limited data</t>
  </si>
  <si>
    <t>Need additional RFI</t>
  </si>
  <si>
    <t>Record assumptions and follow up</t>
  </si>
  <si>
    <t>RCRC to request datasets</t>
  </si>
  <si>
    <t>No focal point or conflicting environmental requirements</t>
  </si>
  <si>
    <t>No formal input</t>
  </si>
  <si>
    <t>EIA assumptions remain exposed</t>
  </si>
  <si>
    <t>Escalate through RCRC</t>
  </si>
  <si>
    <t>Document information gap and use baseline data</t>
  </si>
  <si>
    <t>Ecological corridors and reserve interface accepted</t>
  </si>
  <si>
    <t>Reserve feedback and watershed considerations</t>
  </si>
  <si>
    <t>Environmental framework strengthened</t>
  </si>
  <si>
    <t>Integrate into plan and EIA</t>
  </si>
  <si>
    <t>Feedback received but requires technical follow-up</t>
  </si>
  <si>
    <t>Partial comments and queries</t>
  </si>
  <si>
    <t>Minor schedule impact</t>
  </si>
  <si>
    <t>Schedule focused follow-up</t>
  </si>
  <si>
    <t>Track open queries</t>
  </si>
  <si>
    <t>Reserve concerns reject proposed approach</t>
  </si>
  <si>
    <t>No acceptance of ecological interface</t>
  </si>
  <si>
    <t>Redesign near reserve edge</t>
  </si>
  <si>
    <t>Escalate to RCRC environmental leadership</t>
  </si>
  <si>
    <t>Prepare alternative buffer scenarios</t>
  </si>
  <si>
    <t>MOMAH confirms land-use/housing alignment and Plot No.2 status</t>
  </si>
  <si>
    <t>Policy comments, housing/future plan confirmation</t>
  </si>
  <si>
    <t>Structure plan can proceed with clearer housing assumptions</t>
  </si>
  <si>
    <t>Update land-use plan</t>
  </si>
  <si>
    <t>MOMAH requests internal review after meeting</t>
  </si>
  <si>
    <t>Materials accepted for review</t>
  </si>
  <si>
    <t>Potential delay to formal feedback</t>
  </si>
  <si>
    <t>Provide written comments tracker</t>
  </si>
  <si>
    <t>MOMAH identifies major conflict with approved plans or housing objectives</t>
  </si>
  <si>
    <t>No clearance on Plot No.2</t>
  </si>
  <si>
    <t>Rework in land use and compensation approach</t>
  </si>
  <si>
    <t>Escalate with RCRC</t>
  </si>
  <si>
    <t>Prepare options for affected areas</t>
  </si>
  <si>
    <t>Service provider strategy and funding model inputs shared</t>
  </si>
  <si>
    <t>KMZ verification, 5-year plan, funding mechanism</t>
  </si>
  <si>
    <t>Infrastructure phasing and costing strengthened</t>
  </si>
  <si>
    <t>Update infrastructure phasing</t>
  </si>
  <si>
    <t>RIPC confirms direction but documents require approval</t>
  </si>
  <si>
    <t>High-level guidance only</t>
  </si>
  <si>
    <t>Proceed with assumptions until documents shared</t>
  </si>
  <si>
    <t>Follow up approvals</t>
  </si>
  <si>
    <t>RCRC to unlock documents</t>
  </si>
  <si>
    <t>RIPC cannot share strategy or confirm service coverage</t>
  </si>
  <si>
    <t>No useful input</t>
  </si>
  <si>
    <t>Infrastructure phasing remains high-risk</t>
  </si>
  <si>
    <t>Escalate via RCRC</t>
  </si>
  <si>
    <t>Proceed with conservative assumptions</t>
  </si>
  <si>
    <t>Mineral reserve boundaries and restrictions confirmed</t>
  </si>
  <si>
    <t>GIS layers and permitted/restricted land uses</t>
  </si>
  <si>
    <t>Developable land map can be finalized</t>
  </si>
  <si>
    <t>Update constraints and land-use plan</t>
  </si>
  <si>
    <t>Ministry provides general direction and requests internal review</t>
  </si>
  <si>
    <t>Initial comments and data request list</t>
  </si>
  <si>
    <t>Minor schedule dependency</t>
  </si>
  <si>
    <t>Formal RFI follow-up</t>
  </si>
  <si>
    <t>RCRC follow-up if delayed</t>
  </si>
  <si>
    <t>No data or unclear mineral reserve boundary</t>
  </si>
  <si>
    <t>No decision on restrictions</t>
  </si>
  <si>
    <t>Land suitability remains exposed</t>
  </si>
  <si>
    <t>Use conservative buffer until confirmed</t>
  </si>
  <si>
    <t>Transport corridors and ROW confirmed</t>
  </si>
  <si>
    <t>Road alignments, mobility and logistics constraints</t>
  </si>
  <si>
    <t>Movement network can be frozen</t>
  </si>
  <si>
    <t>Update transport plan</t>
  </si>
  <si>
    <t>Comments received but some corridors still subject to future studies</t>
  </si>
  <si>
    <t>Partial network feedback</t>
  </si>
  <si>
    <t>Carry assumptions with caveats</t>
  </si>
  <si>
    <t>Schedule follow-up</t>
  </si>
  <si>
    <t>RCRC Mobility escalation</t>
  </si>
  <si>
    <t>Major transport changes or ROW conflicts emerge late</t>
  </si>
  <si>
    <t>Conflicting alignments</t>
  </si>
  <si>
    <t>Structure plan redesign risk</t>
  </si>
  <si>
    <t>Escalate via RCRC Mobility</t>
  </si>
  <si>
    <t>Prepare alternative network scenarios</t>
  </si>
  <si>
    <t>SPGA / MOJ</t>
  </si>
  <si>
    <t>Ownership and title deed gaps closed</t>
  </si>
  <si>
    <t>Ownership data, legal status and affected lands</t>
  </si>
  <si>
    <t>Parcel reassignment and land treatment can progress</t>
  </si>
  <si>
    <t>Update legal and parcel registers</t>
  </si>
  <si>
    <t>Partial validation and remaining cases flagged</t>
  </si>
  <si>
    <t>Partial data and disputed cases</t>
  </si>
  <si>
    <t>Plan proceeds with exceptions log</t>
  </si>
  <si>
    <t>Create unresolved cases list</t>
  </si>
  <si>
    <t>Weekly RCRC legal follow-up</t>
  </si>
  <si>
    <t>Critical ownership data unavailable</t>
  </si>
  <si>
    <t>No validated legal basis</t>
  </si>
  <si>
    <t>Stage 4 land decisions exposed</t>
  </si>
  <si>
    <t>Escalate to RCRC Legal</t>
  </si>
  <si>
    <t>Use assumptions and defer final parcel decisions</t>
  </si>
  <si>
    <t>Stakeholder Prioritization Matrix</t>
  </si>
  <si>
    <t>Scoring is based on influence, interest, dependency and decision sensitivity. Categories are formula-driven and can be revised by the project team.</t>
  </si>
  <si>
    <t>Influence (1-5)</t>
  </si>
  <si>
    <t>Interest (1-5)</t>
  </si>
  <si>
    <t>Dependency (1-5)</t>
  </si>
  <si>
    <t>Decision Sensitivity (1-5)</t>
  </si>
  <si>
    <t>Total Score</t>
  </si>
  <si>
    <t>Matrix Category</t>
  </si>
  <si>
    <t>Engagement Priority</t>
  </si>
  <si>
    <t>Rationale</t>
  </si>
  <si>
    <t>Central coordinator and approval route</t>
  </si>
  <si>
    <t>City-wide direction and strategic alignment</t>
  </si>
  <si>
    <t>Pipeline, power and dry utility constraints</t>
  </si>
  <si>
    <t>Riyadh Municipality - Stormwater</t>
  </si>
  <si>
    <t>Hydrology data and 2D model dependency</t>
  </si>
  <si>
    <t>Wadi buffers and affected parcels</t>
  </si>
  <si>
    <t>Environmental and water constraints</t>
  </si>
  <si>
    <t>Ecological corridors and reserve interface</t>
  </si>
  <si>
    <t>Planning/housing policy and approved plan alignment</t>
  </si>
  <si>
    <t>Infrastructure phasing and provider strategy</t>
  </si>
  <si>
    <t>Mineral reserve / industrial constraints</t>
  </si>
  <si>
    <t>Transport corridors and ROW</t>
  </si>
  <si>
    <t>State property ownership</t>
  </si>
  <si>
    <t>Title deed and legal ownership validation</t>
  </si>
  <si>
    <t>Utilities Cluster - Wet</t>
  </si>
  <si>
    <t>Wet utilities capacity and standards</t>
  </si>
  <si>
    <t>Utilities Cluster - Digital</t>
  </si>
  <si>
    <t>Digital infrastructure corridors</t>
  </si>
  <si>
    <t>PIF / Strategic Landowners</t>
  </si>
  <si>
    <t>Future vision for owned/influenced lands</t>
  </si>
  <si>
    <t>Ministry of Interior / General Traffic</t>
  </si>
  <si>
    <t>Traffic/security/restricted land constraints</t>
  </si>
  <si>
    <t>Ministry of Defense</t>
  </si>
  <si>
    <t>Non-developable defense land</t>
  </si>
  <si>
    <t>Two-Week Priority Action Plan</t>
  </si>
  <si>
    <t>Actions required immediately to move from Stage 2/3 follow-up into Stage 4 stakeholder engagement.</t>
  </si>
  <si>
    <t>Action No.</t>
  </si>
  <si>
    <t>Urgent Action</t>
  </si>
  <si>
    <t>Target Date</t>
  </si>
  <si>
    <t>Purpose</t>
  </si>
  <si>
    <t>Output</t>
  </si>
  <si>
    <t>Escalation if Delayed</t>
  </si>
  <si>
    <t>Validate and agree Stage 4 stakeholder priority list with RCRC/Lubna</t>
  </si>
  <si>
    <t>Lock meeting sequence</t>
  </si>
  <si>
    <t>Approved stakeholder list</t>
  </si>
  <si>
    <t>Escalate in weekly RCRC PM meeting</t>
  </si>
  <si>
    <t>Confirm focal points and decision-makers for MEWA and MIMR</t>
  </si>
  <si>
    <t>RCRC / Stakeholder Lead</t>
  </si>
  <si>
    <t>MEWA / MIMR</t>
  </si>
  <si>
    <t>Prepare urgent requested agendas</t>
  </si>
  <si>
    <t>Confirmed invitees</t>
  </si>
  <si>
    <t>RCRC to nominate contacts</t>
  </si>
  <si>
    <t>Prepare concise agenda packs for MEWA and MIMR</t>
  </si>
  <si>
    <t>Environment Lead / Urban Planning Lead</t>
  </si>
  <si>
    <t>Respond to client request</t>
  </si>
  <si>
    <t>Two meeting agendas and question lists</t>
  </si>
  <si>
    <t>WSP PM review</t>
  </si>
  <si>
    <t>Update previous action tracker with confirmed status from each WSP lead</t>
  </si>
  <si>
    <t>All</t>
  </si>
  <si>
    <t>Separate real open items from closed actions</t>
  </si>
  <si>
    <t>Clean action tracker</t>
  </si>
  <si>
    <t>Escalate missing statuses to discipline leads</t>
  </si>
  <si>
    <t>Prepare MoE/SEC/Aramco Stage 4 submission pack</t>
  </si>
  <si>
    <t>MoE / SEC / Aramco</t>
  </si>
  <si>
    <t>Enable 20-Jul coordination</t>
  </si>
  <si>
    <t>Presentation + Excel questions</t>
  </si>
  <si>
    <t>Escalate if Stage 3 outputs not approved</t>
  </si>
  <si>
    <t>Confirm Committee No.85 representatives in MoE meeting invite</t>
  </si>
  <si>
    <t>MoE</t>
  </si>
  <si>
    <t>Avoid duplication and align pipeline decisions</t>
  </si>
  <si>
    <t>Updated invite list</t>
  </si>
  <si>
    <t>Information Required</t>
  </si>
  <si>
    <t>RCRC PM escalation</t>
  </si>
  <si>
    <t>Follow up Riyadh Municipality hydrology data promised within one month</t>
  </si>
  <si>
    <t>Amanah Stormwater</t>
  </si>
  <si>
    <t>Obtain HEC/model/survey data</t>
  </si>
  <si>
    <t>Data request status</t>
  </si>
  <si>
    <t>Escalate to Amanah senior technical sponsor</t>
  </si>
  <si>
    <t>Prepare integrated constraints map for Stage 4 meetings</t>
  </si>
  <si>
    <t>RCRC / All</t>
  </si>
  <si>
    <t>Support all stakeholder discussions</t>
  </si>
  <si>
    <t>Draft constraints map</t>
  </si>
  <si>
    <t>RCRC GIS escalation for missing layers</t>
  </si>
  <si>
    <t>Hold RCRC internal Stage 4 gate</t>
  </si>
  <si>
    <t>Confirm readiness for external meetings</t>
  </si>
  <si>
    <t>Decision and escalation log</t>
  </si>
  <si>
    <t>Move decision to PM forum if not held</t>
  </si>
  <si>
    <t>Issue meeting requests for first wave external meetings</t>
  </si>
  <si>
    <t>Stakeholder Lead / Lubna</t>
  </si>
  <si>
    <t>MoE, Amanah, MEWA, Royal Reserve</t>
  </si>
  <si>
    <t>Secure calendar slots</t>
  </si>
  <si>
    <t>Scheduled meetings</t>
  </si>
  <si>
    <t>RCRC to send formal requests</t>
  </si>
  <si>
    <t>Information Required Register</t>
  </si>
  <si>
    <t>This register clearly separates missing/uncertain information from confirmed inputs.</t>
  </si>
  <si>
    <t>Info ID</t>
  </si>
  <si>
    <t>Required From</t>
  </si>
  <si>
    <t>Why Needed for Stage 4</t>
  </si>
  <si>
    <t>Linked Deliverable</t>
  </si>
  <si>
    <t>Notes / Assumption</t>
  </si>
  <si>
    <t>IR-01</t>
  </si>
  <si>
    <t>Final Stage 4 milestone dates and internal approval gates</t>
  </si>
  <si>
    <t>To finalize stakeholder schedule</t>
  </si>
  <si>
    <t>Engagement Schedule</t>
  </si>
  <si>
    <t>Current dates are proposed assumptions</t>
  </si>
  <si>
    <t>IR-02</t>
  </si>
  <si>
    <t>Confirmed stakeholder focal points and decision-makers</t>
  </si>
  <si>
    <t>RCRC / Lubna</t>
  </si>
  <si>
    <t>To avoid meetings without authority</t>
  </si>
  <si>
    <t>All stakeholder meetings</t>
  </si>
  <si>
    <t>Needed before invitations</t>
  </si>
  <si>
    <t>IR-03</t>
  </si>
  <si>
    <t>Stage 3 preferred strategy / structure plan outputs approved internally</t>
  </si>
  <si>
    <t>RCRC / WSP</t>
  </si>
  <si>
    <t>Required before sharing with external stakeholders</t>
  </si>
  <si>
    <t>Structure Plan</t>
  </si>
  <si>
    <t>MoE requested outputs once approved</t>
  </si>
  <si>
    <t>IR-04</t>
  </si>
  <si>
    <t>HEC-HMS and HEC-RAS files</t>
  </si>
  <si>
    <t>Supports 2D hydrology model and flood buffers</t>
  </si>
  <si>
    <t>2D Hydrology Model</t>
  </si>
  <si>
    <t>Promised where available</t>
  </si>
  <si>
    <t>IR-05</t>
  </si>
  <si>
    <t>Hydrology reports/drawings for important wadis</t>
  </si>
  <si>
    <t>Riyadh Municipality / Wadi Al-Sulai</t>
  </si>
  <si>
    <t>Supports wadi boundaries and buffers</t>
  </si>
  <si>
    <t>Structure Plan / EIA</t>
  </si>
  <si>
    <t>Old data must be validated</t>
  </si>
  <si>
    <t>IR-06</t>
  </si>
  <si>
    <t>Culvert, stormwater asset and spot level data</t>
  </si>
  <si>
    <t>Supports drainage network and flood modelling</t>
  </si>
  <si>
    <t>Coordinate system metadata required</t>
  </si>
  <si>
    <t>IR-07</t>
  </si>
  <si>
    <t>Pipeline-affected land GIS and buffer zones</t>
  </si>
  <si>
    <t>MoE / Aramco / RCRC</t>
  </si>
  <si>
    <t>Impacts developable land and parcel treatment</t>
  </si>
  <si>
    <t>Include title deed status if available</t>
  </si>
  <si>
    <t>IR-08</t>
  </si>
  <si>
    <t>Permission to share Royal Orders No. 40023 and 34738 or summary note</t>
  </si>
  <si>
    <t>RCRC Legal</t>
  </si>
  <si>
    <t>Supports MoE alignment on pipeline-affected lands</t>
  </si>
  <si>
    <t>Legal / Stakeholder Alignment</t>
  </si>
  <si>
    <t>Internal verification required</t>
  </si>
  <si>
    <t>IR-09</t>
  </si>
  <si>
    <t>Power demand assumptions and substation requirements</t>
  </si>
  <si>
    <t>RCRC / SEC / National Grid</t>
  </si>
  <si>
    <t>Required for power network and cost estimates</t>
  </si>
  <si>
    <t>Infrastructure / Cost</t>
  </si>
  <si>
    <t>NEC stated demand not confirmed</t>
  </si>
  <si>
    <t>IR-10</t>
  </si>
  <si>
    <t>Committee No.85 representatives to include in meetings</t>
  </si>
  <si>
    <t>Avoid duplication of pipeline coordination</t>
  </si>
  <si>
    <t>Names identified in MoE MoM</t>
  </si>
  <si>
    <t>IR-11</t>
  </si>
  <si>
    <t>Plot No.2 status and housing-sector plans</t>
  </si>
  <si>
    <t>MOMAH / RCRC</t>
  </si>
  <si>
    <t>Affects land use and ownership treatment</t>
  </si>
  <si>
    <t>Subject to confirmation</t>
  </si>
  <si>
    <t>IR-12</t>
  </si>
  <si>
    <t>Confirmed future plans within project boundary</t>
  </si>
  <si>
    <t>Affects land use and development direction</t>
  </si>
  <si>
    <t>Master Plan</t>
  </si>
  <si>
    <t>Requested by RCRC</t>
  </si>
  <si>
    <t>IR-13</t>
  </si>
  <si>
    <t>MIMR mineral/silica/sand reserve boundaries and restrictions</t>
  </si>
  <si>
    <t>MIMR</t>
  </si>
  <si>
    <t>Affects land suitability and no-go zones</t>
  </si>
  <si>
    <t>Priority from recent client request</t>
  </si>
  <si>
    <t>IR-14</t>
  </si>
  <si>
    <t>MEWA environmental and water constraints</t>
  </si>
  <si>
    <t>Supports EIA, water/wadi constraints and mitigation</t>
  </si>
  <si>
    <t>EIA / Structure Plan</t>
  </si>
  <si>
    <t>Focal point required</t>
  </si>
  <si>
    <t>IR-15</t>
  </si>
  <si>
    <t>Royal Reserve ecological corridor comments and data</t>
  </si>
  <si>
    <t>Supports reserve interface and environmental framework</t>
  </si>
  <si>
    <t>Previous queries via Excel</t>
  </si>
  <si>
    <t>IR-16</t>
  </si>
  <si>
    <t>RIPC 5-year strategy and service provider coverage</t>
  </si>
  <si>
    <t>Supports infrastructure phasing and funding</t>
  </si>
  <si>
    <t>Infrastructure Plan</t>
  </si>
  <si>
    <t>Subject to approvals</t>
  </si>
  <si>
    <t>IR-17</t>
  </si>
  <si>
    <t>SPGA ownership dataset</t>
  </si>
  <si>
    <t>Supports land consolidation and parcel treatment</t>
  </si>
  <si>
    <t>Land Consolidation</t>
  </si>
  <si>
    <t>No confirmed status in provided notes</t>
  </si>
  <si>
    <t>IR-18</t>
  </si>
  <si>
    <t>MOJ title deed and legal status data</t>
  </si>
  <si>
    <t>Validates ownership methodology and legal treatment</t>
  </si>
  <si>
    <t>Land / Legal</t>
  </si>
  <si>
    <t>IR-19</t>
  </si>
  <si>
    <t>MOD/MOI restricted land boundaries</t>
  </si>
  <si>
    <t>RCRC / relevant ministries</t>
  </si>
  <si>
    <t>No development or relocation into MOD/MOI lands</t>
  </si>
  <si>
    <t>Constraints Map</t>
  </si>
  <si>
    <t>Need latest GIS</t>
  </si>
  <si>
    <t>IR-20</t>
  </si>
  <si>
    <t>Stakeholder response status for all previous MoM actions</t>
  </si>
  <si>
    <t>RCRC / WSP Leads</t>
  </si>
  <si>
    <t>To close action tracker before Stage 4 issue</t>
  </si>
  <si>
    <t>Previous Meetings Tracker</t>
  </si>
  <si>
    <t>Many prior actions lack documented closure</t>
  </si>
  <si>
    <t>Source Notes and Assumptions</t>
  </si>
  <si>
    <t>The workbook is grounded in the supplied Stage 2/3 MoMs, SEMP and Stage 3 workshop materials. Any missing information is flagged in the Information Required register.</t>
  </si>
  <si>
    <t>Source</t>
  </si>
  <si>
    <t>Date</t>
  </si>
  <si>
    <t>Used For</t>
  </si>
  <si>
    <t>Key Extracted Points</t>
  </si>
  <si>
    <t>SEMP - Stakeholder Engagement Plan and Management</t>
  </si>
  <si>
    <t>18-Dec-2025</t>
  </si>
  <si>
    <t>Framework, stakeholder categories, engagement methods, risk approach</t>
  </si>
  <si>
    <t>Stage 4 includes structure plan and master plan update presentations/workshops; stakeholders mapped by role, influence and interest</t>
  </si>
  <si>
    <t>Riyadh Plan Alignment MoM</t>
  </si>
  <si>
    <t>17-Feb-2026</t>
  </si>
  <si>
    <t>Strategic direction and Stage 3 to Stage 4 assumptions</t>
  </si>
  <si>
    <t>Visioning to focus on mission/role/principles; no-go zones, hydrology and plot-for-plot principles</t>
  </si>
  <si>
    <t>Royal Reserve Authority MoM</t>
  </si>
  <si>
    <t>04-May-2026</t>
  </si>
  <si>
    <t>Reserve interface and environmental follow-up</t>
  </si>
  <si>
    <t>Ecological corridors, watersheds, environmental integration and spatial data contradictions</t>
  </si>
  <si>
    <t>Ministry of Energy MoM</t>
  </si>
  <si>
    <t>11-May-2026</t>
  </si>
  <si>
    <t>Energy constraints and meeting protocol</t>
  </si>
  <si>
    <t>Arabic meetings, presentation+Excel queries, pipeline/power constraints and demand requirements</t>
  </si>
  <si>
    <t>RIPC MoM</t>
  </si>
  <si>
    <t>12-May-2026</t>
  </si>
  <si>
    <t>Infrastructure phasing and funding</t>
  </si>
  <si>
    <t>KMZ verification, 5-year vision, service provider strategies, funding mechanism</t>
  </si>
  <si>
    <t>MOMAH MoM</t>
  </si>
  <si>
    <t>14-May-2026</t>
  </si>
  <si>
    <t>Planning/housing alignment</t>
  </si>
  <si>
    <t>Land ownership, building status, compensation, approved plans, Plot No.2</t>
  </si>
  <si>
    <t>Wadi Al-Sulai MoM</t>
  </si>
  <si>
    <t>18-May-2026</t>
  </si>
  <si>
    <t>Wadi protection and buffer approach</t>
  </si>
  <si>
    <t>Dynamic buffers; protection takes priority; hydrology and vegetation studies required</t>
  </si>
  <si>
    <t>Riyadh Municipality Stormwater MoM</t>
  </si>
  <si>
    <t>18-Jun-2026</t>
  </si>
  <si>
    <t>Hydrology data and model requirements</t>
  </si>
  <si>
    <t>Old hydrology study is not reliable; HEC-HMS/RAS, culvert and survey data requested</t>
  </si>
  <si>
    <t>MoE Second Coordination MoM</t>
  </si>
  <si>
    <t>07-Jul-2026</t>
  </si>
  <si>
    <t>MoE Stage 4 follow-up and dry utility cost process</t>
  </si>
  <si>
    <t>MoE as strategic partner; meetings every 3 weeks; Committee No.85; share Stage 3 outputs once approved</t>
  </si>
  <si>
    <t>Stage 3 VP/Steering Committee deck</t>
  </si>
  <si>
    <t>Jun-2026</t>
  </si>
  <si>
    <t>Stage 4 deliverables and programme context</t>
  </si>
  <si>
    <t>Stage 4 includes structural plan report, master plan report, EIA report and 2D hydrological model</t>
  </si>
  <si>
    <t>Assumption ID</t>
  </si>
  <si>
    <t>Assumption</t>
  </si>
  <si>
    <t>A-01</t>
  </si>
  <si>
    <t>Proposed dates start from 14-Jul-2026 and should be confirmed by RCRC/Lubna.</t>
  </si>
  <si>
    <t>A-02</t>
  </si>
  <si>
    <t>Where MoM actions had blank owner/due dates, the workbook marks them as Information Required / Open - verify status instead of assigning unconfirmed responsibility.</t>
  </si>
  <si>
    <t>A-03</t>
  </si>
  <si>
    <t>Meetings are structured for Stage 4 validation and action closure, not baseline data collection only.</t>
  </si>
  <si>
    <t>A-04</t>
  </si>
  <si>
    <t>RCRC remains the central coordinator and decision route for conflicting stakeholder positions.</t>
  </si>
  <si>
    <t>Requested Data</t>
  </si>
  <si>
    <t>Status: Received / Not Received / To be filled manually</t>
  </si>
  <si>
    <t>Amanah / Riyadh Municipality</t>
  </si>
  <si>
    <t>Complete granted plots dataset for all 51k+ parcels, including the 6,128 missing/unidentified granted parcels with parcel numbers, locations, and grantee names.</t>
  </si>
  <si>
    <t>Received</t>
  </si>
  <si>
    <t>Ministry of Justice (MOJ)</t>
  </si>
  <si>
    <t>Title deed status / ownership verification for the remaining 13,851 parcels under review.</t>
  </si>
  <si>
    <t>Ownership records / title deed verification for compensation plans 3137, 3138, 3140, 3141; government plan 3210; utilities plan 3143; and informal development outside the Development Protection Boundary south of the project area.</t>
  </si>
  <si>
    <t>State Properties General Authority (SPGA / GASP)</t>
  </si>
  <si>
    <t>Official responses/data on governmental land classification, legal status, ownership transfer to GASP, allocation type, responsible entities, development programs, and expected timelines.</t>
  </si>
  <si>
    <t>Official clarification on governmental lands outside the Development Protection Boundary, including allocation decisions, official directives, and whether land replacement is required where development is constrained.</t>
  </si>
  <si>
    <t>Ministry of Industry and Mineral Resources (MIM)</t>
  </si>
  <si>
    <t>Clarification/data on future industrial activities, development vision, employment requirements, and staff accommodation related to the silica / industrial overlap area.</t>
  </si>
  <si>
    <t>To be filled manually</t>
  </si>
  <si>
    <t>Responses to project queries, comments, and requirements via the structured Excel tracker.</t>
  </si>
  <si>
    <t>Hydrology, environmental, and ecological integration inputs, including ecological corridors, watershed implications, and interface with the Royal Reserve.</t>
  </si>
  <si>
    <t>Strategic coordination model/template for review by RCRC and WSP.</t>
  </si>
  <si>
    <t>Environmental assessment model/template for review by RCRC and WSP.</t>
  </si>
  <si>
    <t>Updated survey data and hydrological data, including recent studies, models, and GIS layers if available.</t>
  </si>
  <si>
    <t>Available HEC-HMS and HEC-RAS model files related to the previous Amanah hydrological study.</t>
  </si>
  <si>
    <t>Reports, drawings, and data related to important wadis within or near the project area.</t>
  </si>
  <si>
    <t>Information on existing culverts and stormwater infrastructure, including built stormwater assets, channels, flood management structures, and flood-affected areas.</t>
  </si>
  <si>
    <t>Spot levels and survey information related to hydrology infrastructure, including coordinate system details and data accuracy/relevance.</t>
  </si>
  <si>
    <t>Riyadh Plan alignment inputs, including polycentric city structure, population and employment distribution logic, hierarchy of centres, transport networks, and unit rates.</t>
  </si>
  <si>
    <t>Ministry of Energy / Saudi Aramco</t>
  </si>
  <si>
    <t>Pipeline alignment, protection zones, required setbacks, and permitted/restricted land uses for the Saudi Aramco corridor.</t>
  </si>
  <si>
    <t>Ministry of Energy / SEC / National Grid</t>
  </si>
  <si>
    <t>Future electricity demand forecasts, load requirements, substation planning inputs, and grid reinforcement plans.</t>
  </si>
  <si>
    <t>Clarification on feasibility and constraints for undergrounding or rerouting high-voltage overhead transmission lines.</t>
  </si>
  <si>
    <t>Confirmation on Plot No. 2 ownership / housing-sector relationship and any Ministry future plans within the project boundary.</t>
  </si>
  <si>
    <t>Feedback on shared project materials and clarifications on land ownership, building licensing status, post-Royal Decree development status, compensation approach, and future land-use alignment.</t>
  </si>
  <si>
    <t>Riyadh Municipality - Land and Property Departments</t>
  </si>
  <si>
    <t>Inputs on affected lands and compensation mechanisms related to wadi intersections and Wadi Al-Sulai coordination.</t>
  </si>
  <si>
    <t>Available environmental and vegetation studies relevant to Project East Grant and wadi protection planning.</t>
  </si>
  <si>
    <t>Wadi buffer approach, classification methodology, and relevant hydrology/environmental inputs for assessing applicability to Project East 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</si>
</sst>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2">
    <font>
      <sz val="11"/>
      <name val="Carlito"/>
    </font>
    <font>
      <b/>
      <sz val="10"/>
      <color rgb="FFFFFFFF"/>
      <name val="Arial"/>
    </font>
    <font>
      <sz val="10"/>
      <name val="Arial"/>
    </font>
    <font>
      <i/>
      <sz val="10"/>
      <color rgb="FF111827"/>
      <name val="Arial"/>
    </font>
    <font>
      <sz val="10"/>
      <name val="Arial"/>
      <family val="2"/>
    </font>
    <font>
      <b/>
      <sz val="10"/>
      <color rgb="FFFFFFFF"/>
      <name val="Arial"/>
      <family val="2"/>
    </font>
    <font>
      <i/>
      <sz val="10"/>
      <color rgb="FF111827"/>
      <name val="Arial"/>
      <family val="2"/>
    </font>
    <font>
      <sz val="10"/>
      <color theme="1"/>
      <name val="Arial"/>
      <family val="2"/>
    </font>
    <font>
      <b/>
      <sz val="11"/>
      <color rgb="FFFFFFFF"/>
      <name val="Carlito"/>
    </font>
    <font>
      <b/>
      <sz val="10"/>
      <color rgb="FFFF0000"/>
      <name val="Arial"/>
      <family val="2"/>
    </font>
    <font>
      <b/>
      <sz val="14"/>
      <color rgb="FFFFFFFF"/>
      <name val="Aptos"/>
    </font>
    <font>
      <sz val="10"/>
      <color rgb="FFFFFFFF"/>
      <name val="Aptos"/>
    </font>
    <font>
      <i/>
      <sz val="10"/>
      <color rgb="FF0B6E4F"/>
      <name val="Aptos"/>
    </font>
    <font>
      <b/>
      <sz val="9"/>
      <color rgb="FF5B6573"/>
      <name val="Aptos"/>
    </font>
    <font>
      <b/>
      <sz val="10"/>
      <color rgb="FFFFFFFF"/>
      <name val="Aptos"/>
    </font>
    <font>
      <sz val="10"/>
      <color rgb="FF5B6573"/>
      <name val="Aptos"/>
    </font>
    <font>
      <sz val="10"/>
      <color rgb="FF000000"/>
      <name val="Aptos"/>
    </font>
    <font>
      <sz val="10"/>
      <color rgb="FF1F4E79"/>
      <name val="Aptos"/>
    </font>
    <font>
      <sz val="11"/>
      <color theme="1"/>
      <name val="Calibri"/>
      <family val="2"/>
      <scheme val="minor"/>
    </font>
    <font>
      <b/>
      <sz val="10"/>
      <color theme="0"/>
      <name val="Arial"/>
      <family val="2"/>
    </font>
    <font>
      <u/>
      <sz val="11"/>
      <color theme="10"/>
      <name val="Carlito"/>
    </font>
    <font>
      <b/>
      <sz val="10"/>
      <color rgb="FFFFFFFF"/>
      <name val="Aptos"/>
      <family val="2"/>
    </font>
    <font>
      <b/>
      <sz val="9"/>
      <color rgb="FF5B6573"/>
      <name val="Aptos"/>
      <family val="2"/>
    </font>
    <font>
      <sz val="10"/>
      <color rgb="FF000000"/>
      <name val="Aptos"/>
      <family val="2"/>
    </font>
    <font>
      <sz val="10"/>
      <color rgb="FFFF0000"/>
      <name val="Arial"/>
      <family val="2"/>
    </font>
    <font>
      <b/>
      <sz val="12"/>
      <color rgb="FFFFFFFF"/>
      <name val="Calibri"/>
      <family val="2"/>
    </font>
    <font>
      <sz val="11"/>
      <color rgb="FF000000"/>
      <name val="Calibri"/>
      <family val="2"/>
    </font>
    <font>
      <sz val="11"/>
      <color rgb="FF000000"/>
      <name val="Calibri"/>
      <charset val="1"/>
    </font>
    <font>
      <sz val="10"/>
      <color rgb="FF5B6573"/>
      <name val="Aptos"/>
      <family val="2"/>
    </font>
    <font>
      <sz val="9"/>
      <name val="Carlito"/>
    </font>
    <font>
      <sz val="8"/>
      <name val="Carlito"/>
    </font>
    <font>
      <sz val="10"/>
      <color theme="9" tint="0.59999389629810485"/>
      <name val="Arial"/>
      <family val="2"/>
    </font>
    <font>
      <sz val="10"/>
      <color rgb="FFFF0000"/>
      <name val="Aptos"/>
      <family val="2"/>
    </font>
    <font>
      <sz val="14"/>
      <color theme="1"/>
      <name val="Arial"/>
      <family val="2"/>
    </font>
    <font>
      <sz val="11"/>
      <name val="Calibri"/>
      <family val="2"/>
      <scheme val="major"/>
    </font>
    <font>
      <sz val="11"/>
      <name val="Segoe UI"/>
      <family val="2"/>
    </font>
    <font>
      <sz val="11"/>
      <name val="Carlito"/>
      <family val="2"/>
    </font>
    <font>
      <sz val="10"/>
      <name val="Calibri"/>
    </font>
    <font>
      <sz val="10"/>
      <name val="Calibri"/>
      <scheme val="major"/>
    </font>
    <font>
      <b/>
      <sz val="14"/>
      <color theme="1"/>
      <name val="Arial"/>
      <family val="2"/>
    </font>
    <font>
      <sz val="10"/>
      <color rgb="FF10251D"/>
      <name val="Segoe UI"/>
    </font>
    <font>
      <sz val="10"/>
      <color rgb="FF000000"/>
      <name val="Arial"/>
    </font>
  </fonts>
  <fills count="24">
    <fill>
      <patternFill patternType="none"/>
    </fill>
    <fill>
      <patternFill patternType="gray125"/>
    </fill>
    <fill>
      <patternFill patternType="solid">
        <fgColor rgb="FF145C50"/>
      </patternFill>
    </fill>
    <fill>
      <patternFill patternType="solid">
        <fgColor rgb="FFE6F4F1"/>
      </patternFill>
    </fill>
    <fill>
      <patternFill patternType="solid">
        <fgColor rgb="FF0F766E"/>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B6E4F"/>
      </patternFill>
    </fill>
    <fill>
      <patternFill patternType="solid">
        <fgColor rgb="FFEAF5EF"/>
      </patternFill>
    </fill>
    <fill>
      <patternFill patternType="solid">
        <fgColor rgb="FFF3F4F6"/>
      </patternFill>
    </fill>
    <fill>
      <patternFill patternType="solid">
        <fgColor rgb="FFFFFFFF"/>
      </patternFill>
    </fill>
    <fill>
      <patternFill patternType="solid">
        <fgColor theme="0"/>
        <bgColor indexed="64"/>
      </patternFill>
    </fill>
    <fill>
      <patternFill patternType="solid">
        <fgColor rgb="FFEAF2FF"/>
      </patternFill>
    </fill>
    <fill>
      <patternFill patternType="solid">
        <fgColor theme="4" tint="0.79998168889431442"/>
        <bgColor indexed="64"/>
      </patternFill>
    </fill>
    <fill>
      <patternFill patternType="solid">
        <fgColor rgb="FF333E48"/>
        <bgColor rgb="FF000000"/>
      </patternFill>
    </fill>
    <fill>
      <patternFill patternType="solid">
        <fgColor theme="6" tint="0.79998168889431442"/>
        <bgColor indexed="64"/>
      </patternFill>
    </fill>
    <fill>
      <patternFill patternType="solid">
        <fgColor theme="2"/>
        <bgColor indexed="64"/>
      </patternFill>
    </fill>
    <fill>
      <patternFill patternType="solid">
        <fgColor theme="9" tint="-0.249977111117893"/>
        <bgColor indexed="64"/>
      </patternFill>
    </fill>
    <fill>
      <patternFill patternType="solid">
        <fgColor rgb="FFF2F2F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145C50"/>
        <bgColor indexed="64"/>
      </patternFill>
    </fill>
    <fill>
      <patternFill patternType="solid">
        <fgColor rgb="FFE6F4F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top/>
      <bottom style="thin">
        <color rgb="FFD1D5DB"/>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right/>
      <top style="thin">
        <color indexed="64"/>
      </top>
      <bottom/>
      <diagonal/>
    </border>
    <border>
      <left style="thin">
        <color rgb="FF000000"/>
      </left>
      <right style="thin">
        <color rgb="FF000000"/>
      </right>
      <top/>
      <bottom style="thin">
        <color indexed="64"/>
      </bottom>
      <diagonal/>
    </border>
    <border>
      <left/>
      <right/>
      <top style="thin">
        <color theme="9" tint="0.39997558519241921"/>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235">
    <xf numFmtId="0" fontId="0" fillId="0" borderId="0" xfId="0"/>
    <xf numFmtId="0" fontId="2" fillId="0" borderId="0" xfId="0" applyFont="1"/>
    <xf numFmtId="0" fontId="1" fillId="2" borderId="0" xfId="0" applyFont="1" applyFill="1" applyAlignment="1">
      <alignment horizontal="center" vertical="center" wrapText="1"/>
    </xf>
    <xf numFmtId="0" fontId="2" fillId="0" borderId="0" xfId="0" applyFont="1" applyAlignment="1">
      <alignment vertical="top" wrapText="1"/>
    </xf>
    <xf numFmtId="164" fontId="2" fillId="0" borderId="0" xfId="0" applyNumberFormat="1" applyFont="1" applyAlignment="1">
      <alignment vertical="top" wrapText="1"/>
    </xf>
    <xf numFmtId="0" fontId="4" fillId="0" borderId="0" xfId="0" applyFont="1" applyAlignment="1">
      <alignment vertical="top" wrapText="1"/>
    </xf>
    <xf numFmtId="0" fontId="5" fillId="2" borderId="0" xfId="0" applyFont="1" applyFill="1" applyAlignment="1">
      <alignment horizontal="center" vertical="center" wrapText="1"/>
    </xf>
    <xf numFmtId="0" fontId="8" fillId="4"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14" fontId="0" fillId="0" borderId="1" xfId="0" applyNumberFormat="1" applyBorder="1" applyAlignment="1">
      <alignment vertical="center" wrapText="1"/>
    </xf>
    <xf numFmtId="0" fontId="0" fillId="0" borderId="0" xfId="0" applyAlignment="1">
      <alignment wrapText="1"/>
    </xf>
    <xf numFmtId="0" fontId="2" fillId="7" borderId="0" xfId="0" applyFont="1" applyFill="1"/>
    <xf numFmtId="0" fontId="2" fillId="7" borderId="0" xfId="0" applyFont="1" applyFill="1" applyAlignment="1">
      <alignment vertical="top" wrapText="1"/>
    </xf>
    <xf numFmtId="0" fontId="0" fillId="7" borderId="0" xfId="0" applyFill="1"/>
    <xf numFmtId="0" fontId="8" fillId="4" borderId="0" xfId="0" applyFont="1" applyFill="1" applyAlignment="1">
      <alignment wrapText="1"/>
    </xf>
    <xf numFmtId="0" fontId="0" fillId="0" borderId="0" xfId="0" applyAlignment="1">
      <alignment vertical="center" wrapText="1"/>
    </xf>
    <xf numFmtId="0" fontId="14" fillId="8" borderId="2"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12" borderId="5" xfId="0" applyFont="1" applyFill="1" applyBorder="1" applyAlignment="1">
      <alignment horizontal="center" vertical="center" wrapText="1"/>
    </xf>
    <xf numFmtId="0" fontId="16" fillId="12" borderId="5" xfId="0" applyFont="1" applyFill="1" applyBorder="1" applyAlignment="1">
      <alignment horizontal="left" vertical="top" wrapText="1"/>
    </xf>
    <xf numFmtId="164" fontId="17" fillId="12" borderId="5" xfId="0" applyNumberFormat="1" applyFont="1" applyFill="1" applyBorder="1" applyAlignment="1">
      <alignment horizontal="center" vertical="center" wrapText="1"/>
    </xf>
    <xf numFmtId="164" fontId="16" fillId="12" borderId="5" xfId="0" applyNumberFormat="1" applyFont="1" applyFill="1" applyBorder="1" applyAlignment="1">
      <alignment horizontal="center" vertical="center" wrapText="1"/>
    </xf>
    <xf numFmtId="0" fontId="17" fillId="12" borderId="5" xfId="0" applyFont="1" applyFill="1" applyBorder="1" applyAlignment="1">
      <alignment horizontal="center" vertical="center" wrapText="1"/>
    </xf>
    <xf numFmtId="0" fontId="15" fillId="6" borderId="5" xfId="0" applyFont="1" applyFill="1" applyBorder="1" applyAlignment="1">
      <alignment horizontal="left" vertical="top" wrapText="1"/>
    </xf>
    <xf numFmtId="0" fontId="15" fillId="6" borderId="5" xfId="0" applyFont="1" applyFill="1" applyBorder="1" applyAlignment="1">
      <alignment horizontal="center" vertical="center" wrapText="1"/>
    </xf>
    <xf numFmtId="0" fontId="16" fillId="6" borderId="5" xfId="0" applyFont="1" applyFill="1" applyBorder="1" applyAlignment="1">
      <alignment horizontal="left" vertical="top" wrapText="1"/>
    </xf>
    <xf numFmtId="164" fontId="17" fillId="6" borderId="5" xfId="0" applyNumberFormat="1" applyFont="1" applyFill="1" applyBorder="1" applyAlignment="1">
      <alignment horizontal="center" vertical="center" wrapText="1"/>
    </xf>
    <xf numFmtId="164" fontId="16" fillId="6" borderId="5" xfId="0" applyNumberFormat="1" applyFont="1" applyFill="1" applyBorder="1" applyAlignment="1">
      <alignment horizontal="center" vertical="center" wrapText="1"/>
    </xf>
    <xf numFmtId="0" fontId="17" fillId="6" borderId="5" xfId="0" applyFont="1" applyFill="1" applyBorder="1" applyAlignment="1">
      <alignment horizontal="center" vertical="center" wrapText="1"/>
    </xf>
    <xf numFmtId="0" fontId="15" fillId="6" borderId="0" xfId="0" applyFont="1" applyFill="1" applyAlignment="1">
      <alignment horizontal="center" vertical="center" wrapText="1"/>
    </xf>
    <xf numFmtId="0" fontId="15" fillId="0" borderId="5" xfId="0" applyFont="1" applyBorder="1" applyAlignment="1">
      <alignment horizontal="left" vertical="top" wrapText="1"/>
    </xf>
    <xf numFmtId="0" fontId="15" fillId="0" borderId="5" xfId="0" applyFont="1" applyBorder="1" applyAlignment="1">
      <alignment horizontal="center" vertical="center" wrapText="1"/>
    </xf>
    <xf numFmtId="0" fontId="16" fillId="0" borderId="5" xfId="0" applyFont="1" applyBorder="1" applyAlignment="1">
      <alignment horizontal="left" vertical="top" wrapText="1"/>
    </xf>
    <xf numFmtId="164" fontId="16" fillId="0" borderId="5" xfId="0" applyNumberFormat="1" applyFont="1" applyBorder="1" applyAlignment="1">
      <alignment horizontal="center" vertical="center" wrapText="1"/>
    </xf>
    <xf numFmtId="0" fontId="17" fillId="13" borderId="5" xfId="0" applyFont="1" applyFill="1" applyBorder="1" applyAlignment="1">
      <alignment horizontal="center" vertical="center" wrapText="1"/>
    </xf>
    <xf numFmtId="0" fontId="15" fillId="12" borderId="0" xfId="0" applyFont="1" applyFill="1" applyAlignment="1">
      <alignment horizontal="left" vertical="top" wrapText="1"/>
    </xf>
    <xf numFmtId="0" fontId="15" fillId="12" borderId="0" xfId="0" applyFont="1" applyFill="1" applyAlignment="1">
      <alignment horizontal="center" vertical="center" wrapText="1"/>
    </xf>
    <xf numFmtId="0" fontId="16" fillId="12" borderId="0" xfId="0" applyFont="1" applyFill="1" applyAlignment="1">
      <alignment horizontal="left" vertical="top" wrapText="1"/>
    </xf>
    <xf numFmtId="164" fontId="17" fillId="12" borderId="0" xfId="0" applyNumberFormat="1" applyFont="1" applyFill="1" applyAlignment="1">
      <alignment horizontal="center" vertical="center" wrapText="1"/>
    </xf>
    <xf numFmtId="164" fontId="16" fillId="12" borderId="0" xfId="0" applyNumberFormat="1" applyFont="1" applyFill="1" applyAlignment="1">
      <alignment horizontal="center" vertical="center" wrapText="1"/>
    </xf>
    <xf numFmtId="0" fontId="17" fillId="12" borderId="0" xfId="0" applyFont="1" applyFill="1" applyAlignment="1">
      <alignment horizontal="center" vertical="center" wrapText="1"/>
    </xf>
    <xf numFmtId="164" fontId="17" fillId="12" borderId="6" xfId="0" applyNumberFormat="1" applyFont="1" applyFill="1" applyBorder="1" applyAlignment="1">
      <alignment horizontal="center" vertical="center" wrapText="1"/>
    </xf>
    <xf numFmtId="164" fontId="16" fillId="12" borderId="6" xfId="0" applyNumberFormat="1" applyFont="1" applyFill="1" applyBorder="1" applyAlignment="1">
      <alignment horizontal="center" vertical="center" wrapText="1"/>
    </xf>
    <xf numFmtId="0" fontId="15" fillId="0" borderId="0" xfId="0" applyFont="1" applyAlignment="1">
      <alignment horizontal="left" vertical="top" wrapText="1"/>
    </xf>
    <xf numFmtId="0" fontId="15" fillId="0" borderId="0" xfId="0" applyFont="1" applyAlignment="1">
      <alignment horizontal="center" vertical="center" wrapText="1"/>
    </xf>
    <xf numFmtId="0" fontId="16" fillId="0" borderId="0" xfId="0" applyFont="1" applyAlignment="1">
      <alignment horizontal="left" vertical="top" wrapText="1"/>
    </xf>
    <xf numFmtId="164" fontId="16" fillId="0" borderId="0" xfId="0" applyNumberFormat="1" applyFont="1" applyAlignment="1">
      <alignment horizontal="center" vertical="center" wrapText="1"/>
    </xf>
    <xf numFmtId="0" fontId="17" fillId="0" borderId="0" xfId="0" applyFont="1" applyAlignment="1">
      <alignment horizontal="center" vertical="center" wrapText="1"/>
    </xf>
    <xf numFmtId="0" fontId="17" fillId="13" borderId="0" xfId="0" applyFont="1" applyFill="1" applyAlignment="1">
      <alignment horizontal="center" vertical="center" wrapText="1"/>
    </xf>
    <xf numFmtId="0" fontId="7" fillId="0" borderId="0" xfId="0" applyFont="1" applyAlignment="1">
      <alignment vertical="top" wrapText="1"/>
    </xf>
    <xf numFmtId="0" fontId="9" fillId="7" borderId="0" xfId="0" applyFont="1" applyFill="1" applyAlignment="1">
      <alignment horizontal="center" vertical="center" wrapText="1"/>
    </xf>
    <xf numFmtId="0" fontId="19" fillId="2" borderId="0" xfId="0" applyFont="1" applyFill="1" applyAlignment="1">
      <alignment horizontal="center" vertical="center" wrapText="1"/>
    </xf>
    <xf numFmtId="0" fontId="19" fillId="0" borderId="0" xfId="0" applyFont="1" applyAlignment="1">
      <alignment horizontal="center" vertical="center" wrapText="1"/>
    </xf>
    <xf numFmtId="0" fontId="21" fillId="8" borderId="2" xfId="0" applyFont="1" applyFill="1" applyBorder="1" applyAlignment="1">
      <alignment horizontal="center" vertical="center" wrapText="1"/>
    </xf>
    <xf numFmtId="0" fontId="0" fillId="14" borderId="1" xfId="0" applyFill="1" applyBorder="1" applyAlignment="1">
      <alignment vertical="center" wrapText="1"/>
    </xf>
    <xf numFmtId="0" fontId="0" fillId="7" borderId="1" xfId="0" applyFill="1" applyBorder="1" applyAlignment="1">
      <alignment vertical="center" wrapText="1"/>
    </xf>
    <xf numFmtId="0" fontId="26" fillId="0" borderId="7" xfId="0" applyFont="1" applyBorder="1" applyAlignment="1">
      <alignment vertical="center" wrapText="1"/>
    </xf>
    <xf numFmtId="0" fontId="26" fillId="0" borderId="8" xfId="0" applyFont="1" applyBorder="1" applyAlignment="1">
      <alignment vertical="center" wrapText="1"/>
    </xf>
    <xf numFmtId="0" fontId="26" fillId="0" borderId="9" xfId="0" applyFont="1" applyBorder="1" applyAlignment="1">
      <alignment vertical="center" wrapText="1"/>
    </xf>
    <xf numFmtId="0" fontId="26" fillId="7" borderId="7" xfId="0" applyFont="1" applyFill="1" applyBorder="1" applyAlignment="1">
      <alignment vertical="center" wrapText="1"/>
    </xf>
    <xf numFmtId="0" fontId="26" fillId="6" borderId="8" xfId="0" applyFont="1" applyFill="1" applyBorder="1" applyAlignment="1">
      <alignment vertical="center" wrapText="1"/>
    </xf>
    <xf numFmtId="0" fontId="26" fillId="7" borderId="8" xfId="0" applyFont="1" applyFill="1" applyBorder="1" applyAlignment="1">
      <alignment vertical="center" wrapText="1"/>
    </xf>
    <xf numFmtId="0" fontId="26" fillId="6" borderId="9" xfId="0" applyFont="1" applyFill="1" applyBorder="1" applyAlignment="1">
      <alignment vertical="center" wrapText="1"/>
    </xf>
    <xf numFmtId="0" fontId="26" fillId="6" borderId="7" xfId="0" applyFont="1" applyFill="1" applyBorder="1" applyAlignment="1">
      <alignment vertical="center" wrapText="1"/>
    </xf>
    <xf numFmtId="49" fontId="2" fillId="0" borderId="19" xfId="0" applyNumberFormat="1" applyFont="1" applyBorder="1" applyAlignment="1">
      <alignment vertical="top" wrapText="1"/>
    </xf>
    <xf numFmtId="49" fontId="2" fillId="0" borderId="0" xfId="0" applyNumberFormat="1" applyFont="1" applyAlignment="1">
      <alignment vertical="top" wrapText="1"/>
    </xf>
    <xf numFmtId="0" fontId="2" fillId="0" borderId="19" xfId="0" applyFont="1" applyBorder="1" applyAlignment="1">
      <alignment vertical="top" wrapText="1"/>
    </xf>
    <xf numFmtId="49" fontId="2" fillId="0" borderId="11" xfId="0" applyNumberFormat="1" applyFont="1" applyBorder="1" applyAlignment="1">
      <alignment vertical="top" wrapText="1"/>
    </xf>
    <xf numFmtId="0" fontId="2" fillId="0" borderId="11" xfId="0" applyFont="1" applyBorder="1" applyAlignment="1">
      <alignment vertical="top" wrapText="1"/>
    </xf>
    <xf numFmtId="0" fontId="0" fillId="7" borderId="0" xfId="0" applyFill="1" applyAlignment="1">
      <alignment horizontal="center"/>
    </xf>
    <xf numFmtId="0" fontId="26" fillId="7" borderId="9" xfId="0" applyFont="1" applyFill="1" applyBorder="1" applyAlignment="1">
      <alignment vertical="center" wrapText="1"/>
    </xf>
    <xf numFmtId="0" fontId="2" fillId="6" borderId="19" xfId="0" applyFont="1" applyFill="1" applyBorder="1" applyAlignment="1">
      <alignment vertical="top" wrapText="1"/>
    </xf>
    <xf numFmtId="0" fontId="2" fillId="6" borderId="0" xfId="0" applyFont="1" applyFill="1" applyAlignment="1">
      <alignment vertical="top" wrapText="1"/>
    </xf>
    <xf numFmtId="0" fontId="2" fillId="6" borderId="11" xfId="0" applyFont="1" applyFill="1" applyBorder="1" applyAlignment="1">
      <alignment vertical="top" wrapText="1"/>
    </xf>
    <xf numFmtId="49" fontId="2" fillId="6" borderId="29" xfId="0" applyNumberFormat="1" applyFont="1" applyFill="1" applyBorder="1" applyAlignment="1">
      <alignment vertical="top" wrapText="1"/>
    </xf>
    <xf numFmtId="49" fontId="2" fillId="6" borderId="0" xfId="0" applyNumberFormat="1" applyFont="1" applyFill="1" applyAlignment="1">
      <alignment vertical="top" wrapText="1"/>
    </xf>
    <xf numFmtId="49" fontId="2" fillId="6" borderId="19" xfId="0" applyNumberFormat="1" applyFont="1" applyFill="1" applyBorder="1" applyAlignment="1">
      <alignment vertical="top" wrapText="1"/>
    </xf>
    <xf numFmtId="49" fontId="2" fillId="6" borderId="11" xfId="0" applyNumberFormat="1" applyFont="1" applyFill="1" applyBorder="1" applyAlignment="1">
      <alignment vertical="top" wrapText="1"/>
    </xf>
    <xf numFmtId="49" fontId="2" fillId="7" borderId="0" xfId="0" applyNumberFormat="1" applyFont="1" applyFill="1" applyAlignment="1">
      <alignment vertical="top" wrapText="1"/>
    </xf>
    <xf numFmtId="49" fontId="2" fillId="16" borderId="11" xfId="0" applyNumberFormat="1" applyFont="1" applyFill="1" applyBorder="1" applyAlignment="1">
      <alignment vertical="top" wrapText="1"/>
    </xf>
    <xf numFmtId="49" fontId="2" fillId="16" borderId="19" xfId="0" applyNumberFormat="1" applyFont="1" applyFill="1" applyBorder="1" applyAlignment="1">
      <alignment vertical="top" wrapText="1"/>
    </xf>
    <xf numFmtId="49" fontId="2" fillId="16" borderId="0" xfId="0" applyNumberFormat="1" applyFont="1" applyFill="1" applyAlignment="1">
      <alignment vertical="top" wrapText="1"/>
    </xf>
    <xf numFmtId="49" fontId="2" fillId="7" borderId="11" xfId="0" applyNumberFormat="1" applyFont="1" applyFill="1" applyBorder="1" applyAlignment="1">
      <alignment vertical="top" wrapText="1"/>
    </xf>
    <xf numFmtId="0" fontId="29" fillId="0" borderId="0" xfId="0" applyFont="1"/>
    <xf numFmtId="0" fontId="28" fillId="12" borderId="0" xfId="0" applyFont="1" applyFill="1" applyAlignment="1">
      <alignment horizontal="center" vertical="center" wrapText="1"/>
    </xf>
    <xf numFmtId="0" fontId="15" fillId="17" borderId="5" xfId="0" applyFont="1" applyFill="1" applyBorder="1" applyAlignment="1">
      <alignment horizontal="left" vertical="top" wrapText="1"/>
    </xf>
    <xf numFmtId="0" fontId="15" fillId="17" borderId="5" xfId="0" applyFont="1" applyFill="1" applyBorder="1" applyAlignment="1">
      <alignment horizontal="center" vertical="center" wrapText="1"/>
    </xf>
    <xf numFmtId="0" fontId="16" fillId="17" borderId="5" xfId="0" applyFont="1" applyFill="1" applyBorder="1" applyAlignment="1">
      <alignment horizontal="left" vertical="top" wrapText="1"/>
    </xf>
    <xf numFmtId="164" fontId="16" fillId="17" borderId="5" xfId="0" applyNumberFormat="1" applyFont="1" applyFill="1" applyBorder="1" applyAlignment="1">
      <alignment horizontal="center" vertical="center" wrapText="1"/>
    </xf>
    <xf numFmtId="0" fontId="17" fillId="17" borderId="5" xfId="0" applyFont="1" applyFill="1" applyBorder="1" applyAlignment="1">
      <alignment horizontal="center" vertical="center" wrapText="1"/>
    </xf>
    <xf numFmtId="0" fontId="0" fillId="17" borderId="0" xfId="0" applyFill="1"/>
    <xf numFmtId="0" fontId="28" fillId="17" borderId="0" xfId="0" applyFont="1" applyFill="1" applyAlignment="1">
      <alignment horizontal="center" vertical="center" wrapText="1"/>
    </xf>
    <xf numFmtId="0" fontId="23" fillId="17" borderId="5" xfId="0" applyFont="1" applyFill="1" applyBorder="1" applyAlignment="1">
      <alignment horizontal="left" vertical="top" wrapText="1"/>
    </xf>
    <xf numFmtId="0" fontId="32" fillId="7" borderId="5" xfId="0" applyFont="1" applyFill="1" applyBorder="1" applyAlignment="1">
      <alignment horizontal="center" vertical="center" wrapText="1"/>
    </xf>
    <xf numFmtId="0" fontId="23" fillId="12" borderId="0" xfId="0" applyFont="1" applyFill="1" applyAlignment="1">
      <alignment horizontal="left" vertical="top" wrapText="1"/>
    </xf>
    <xf numFmtId="0" fontId="23" fillId="12" borderId="6" xfId="0" applyFont="1" applyFill="1" applyBorder="1" applyAlignment="1">
      <alignment horizontal="left" vertical="top" wrapText="1"/>
    </xf>
    <xf numFmtId="0" fontId="0" fillId="18" borderId="0" xfId="0" applyFill="1"/>
    <xf numFmtId="15" fontId="0" fillId="0" borderId="1" xfId="0" applyNumberFormat="1" applyBorder="1" applyAlignment="1">
      <alignment vertical="center" wrapText="1"/>
    </xf>
    <xf numFmtId="0" fontId="31" fillId="0" borderId="0" xfId="0" applyFont="1"/>
    <xf numFmtId="0" fontId="35"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vertical="center"/>
    </xf>
    <xf numFmtId="0" fontId="40" fillId="0" borderId="0" xfId="0" applyFont="1" applyAlignment="1">
      <alignment vertical="top" wrapText="1"/>
    </xf>
    <xf numFmtId="164" fontId="40" fillId="0" borderId="0" xfId="0" applyNumberFormat="1" applyFont="1" applyAlignment="1">
      <alignment vertical="top" wrapText="1"/>
    </xf>
    <xf numFmtId="0" fontId="0" fillId="0" borderId="1" xfId="0" applyBorder="1"/>
    <xf numFmtId="0" fontId="1" fillId="22" borderId="0" xfId="0" applyFont="1" applyFill="1" applyAlignment="1">
      <alignment horizontal="center" vertical="center" wrapText="1"/>
    </xf>
    <xf numFmtId="0" fontId="41" fillId="0" borderId="0" xfId="0" applyFont="1" applyAlignment="1">
      <alignment horizontal="left" vertical="top" wrapText="1"/>
    </xf>
    <xf numFmtId="0" fontId="20" fillId="0" borderId="13" xfId="1" applyBorder="1" applyAlignment="1">
      <alignment vertical="center" wrapText="1"/>
    </xf>
    <xf numFmtId="0" fontId="20" fillId="0" borderId="17" xfId="1" applyBorder="1" applyAlignment="1">
      <alignment vertical="center" wrapText="1"/>
    </xf>
    <xf numFmtId="0" fontId="20" fillId="0" borderId="21" xfId="1" applyBorder="1" applyAlignment="1">
      <alignment vertical="center" wrapText="1"/>
    </xf>
    <xf numFmtId="0" fontId="20" fillId="0" borderId="12" xfId="1" applyBorder="1" applyAlignment="1">
      <alignment vertical="center" wrapText="1"/>
    </xf>
    <xf numFmtId="0" fontId="20" fillId="0" borderId="21" xfId="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1"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15" fontId="2" fillId="0" borderId="24" xfId="0" applyNumberFormat="1" applyFont="1" applyBorder="1" applyAlignment="1">
      <alignment vertical="top" wrapText="1"/>
    </xf>
    <xf numFmtId="15" fontId="2" fillId="0" borderId="25" xfId="0" applyNumberFormat="1" applyFont="1" applyBorder="1" applyAlignment="1">
      <alignment vertical="top" wrapText="1"/>
    </xf>
    <xf numFmtId="0" fontId="20" fillId="0" borderId="17" xfId="1" applyBorder="1" applyAlignment="1">
      <alignment vertical="top" wrapText="1"/>
    </xf>
    <xf numFmtId="0" fontId="27" fillId="0" borderId="30"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31" xfId="0" applyFont="1" applyBorder="1" applyAlignment="1">
      <alignment horizontal="center" vertical="center" wrapText="1"/>
    </xf>
    <xf numFmtId="0" fontId="2" fillId="0" borderId="21" xfId="0" applyFont="1" applyBorder="1" applyAlignment="1">
      <alignment vertical="top" wrapText="1"/>
    </xf>
    <xf numFmtId="0" fontId="2" fillId="0" borderId="12" xfId="0" applyFont="1" applyBorder="1" applyAlignment="1">
      <alignment vertical="top" wrapText="1"/>
    </xf>
    <xf numFmtId="0" fontId="2" fillId="0" borderId="13" xfId="0" applyFont="1" applyBorder="1" applyAlignment="1">
      <alignment vertical="top" wrapText="1"/>
    </xf>
    <xf numFmtId="0" fontId="27" fillId="0" borderId="24" xfId="0" applyFont="1" applyBorder="1" applyAlignment="1">
      <alignment horizontal="left" vertical="top" wrapText="1"/>
    </xf>
    <xf numFmtId="0" fontId="27" fillId="0" borderId="25" xfId="0" applyFont="1" applyBorder="1" applyAlignment="1">
      <alignment horizontal="left" vertical="top" wrapText="1"/>
    </xf>
    <xf numFmtId="0" fontId="27" fillId="0" borderId="32" xfId="0" applyFont="1" applyBorder="1" applyAlignment="1">
      <alignment horizontal="left" vertical="top" wrapText="1"/>
    </xf>
    <xf numFmtId="0" fontId="2" fillId="0" borderId="22" xfId="0" applyFont="1" applyBorder="1" applyAlignment="1">
      <alignment horizontal="left" vertical="center" wrapText="1"/>
    </xf>
    <xf numFmtId="0" fontId="2" fillId="0" borderId="24" xfId="0" applyFont="1" applyBorder="1" applyAlignment="1">
      <alignment horizontal="left" vertical="center" wrapText="1"/>
    </xf>
    <xf numFmtId="0" fontId="2" fillId="0" borderId="13" xfId="0" applyFont="1" applyBorder="1" applyAlignment="1">
      <alignment horizontal="left" vertical="center" wrapText="1"/>
    </xf>
    <xf numFmtId="0" fontId="2" fillId="0" borderId="17" xfId="0" applyFont="1" applyBorder="1" applyAlignment="1">
      <alignment horizontal="left" vertical="center" wrapText="1"/>
    </xf>
    <xf numFmtId="0" fontId="2" fillId="0" borderId="21" xfId="0" applyFont="1" applyBorder="1" applyAlignment="1">
      <alignment horizontal="left" vertical="center" wrapText="1"/>
    </xf>
    <xf numFmtId="15" fontId="2" fillId="0" borderId="0" xfId="0" applyNumberFormat="1" applyFont="1" applyAlignment="1">
      <alignment vertical="top" wrapText="1"/>
    </xf>
    <xf numFmtId="0" fontId="2" fillId="0" borderId="17" xfId="0" applyFont="1" applyBorder="1" applyAlignment="1">
      <alignment horizontal="center" vertical="center" wrapText="1"/>
    </xf>
    <xf numFmtId="0" fontId="2" fillId="0" borderId="17" xfId="0" applyFont="1" applyBorder="1" applyAlignment="1">
      <alignment vertical="top" wrapText="1"/>
    </xf>
    <xf numFmtId="0" fontId="2" fillId="0" borderId="17" xfId="0" applyFont="1" applyBorder="1" applyAlignment="1">
      <alignment horizontal="left" vertical="top" wrapText="1"/>
    </xf>
    <xf numFmtId="15" fontId="2" fillId="0" borderId="19" xfId="0" applyNumberFormat="1" applyFont="1" applyBorder="1" applyAlignment="1">
      <alignment vertical="top"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9" xfId="0" applyFont="1" applyBorder="1" applyAlignment="1">
      <alignment horizontal="center" vertical="center" wrapText="1"/>
    </xf>
    <xf numFmtId="0" fontId="4" fillId="0" borderId="17" xfId="0" applyFont="1" applyBorder="1" applyAlignment="1">
      <alignment horizontal="left" vertical="top" wrapText="1"/>
    </xf>
    <xf numFmtId="15" fontId="2" fillId="0" borderId="10" xfId="0" applyNumberFormat="1" applyFont="1" applyBorder="1" applyAlignment="1">
      <alignment vertical="top"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0" fillId="0" borderId="7" xfId="1" applyBorder="1" applyAlignment="1">
      <alignment vertical="center" wrapText="1"/>
    </xf>
    <xf numFmtId="0" fontId="20" fillId="0" borderId="8" xfId="1" applyBorder="1" applyAlignment="1">
      <alignment vertical="center" wrapText="1"/>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21"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9" xfId="0" applyFont="1" applyBorder="1" applyAlignment="1">
      <alignment horizontal="center" vertical="center"/>
    </xf>
    <xf numFmtId="15" fontId="26" fillId="0" borderId="7" xfId="0" applyNumberFormat="1" applyFont="1" applyBorder="1" applyAlignment="1">
      <alignment horizontal="center" vertical="center"/>
    </xf>
    <xf numFmtId="15" fontId="26" fillId="0" borderId="8" xfId="0" applyNumberFormat="1" applyFont="1" applyBorder="1" applyAlignment="1">
      <alignment horizontal="center" vertical="center"/>
    </xf>
    <xf numFmtId="0" fontId="26" fillId="0" borderId="14" xfId="0" applyFont="1" applyBorder="1" applyAlignment="1">
      <alignment horizontal="left" vertical="center" wrapText="1"/>
    </xf>
    <xf numFmtId="0" fontId="26" fillId="0" borderId="15" xfId="0" applyFont="1" applyBorder="1" applyAlignment="1">
      <alignment horizontal="left" vertical="center" wrapText="1"/>
    </xf>
    <xf numFmtId="0" fontId="26" fillId="0" borderId="20" xfId="0" applyFont="1" applyBorder="1" applyAlignment="1">
      <alignment horizontal="left" vertical="center"/>
    </xf>
    <xf numFmtId="0" fontId="26" fillId="0" borderId="8" xfId="0" applyFont="1" applyBorder="1" applyAlignment="1">
      <alignment horizontal="left" vertical="center"/>
    </xf>
    <xf numFmtId="0" fontId="26" fillId="0" borderId="34" xfId="0" applyFont="1" applyBorder="1" applyAlignment="1">
      <alignment horizontal="left" vertical="center"/>
    </xf>
    <xf numFmtId="15" fontId="26" fillId="0" borderId="20" xfId="0" applyNumberFormat="1" applyFont="1" applyBorder="1" applyAlignment="1">
      <alignment horizontal="center" vertical="top"/>
    </xf>
    <xf numFmtId="15" fontId="26" fillId="0" borderId="8" xfId="0" applyNumberFormat="1" applyFont="1" applyBorder="1" applyAlignment="1">
      <alignment horizontal="center" vertical="top"/>
    </xf>
    <xf numFmtId="15" fontId="26" fillId="0" borderId="34" xfId="0" applyNumberFormat="1" applyFont="1" applyBorder="1" applyAlignment="1">
      <alignment horizontal="center" vertical="top"/>
    </xf>
    <xf numFmtId="0" fontId="20" fillId="0" borderId="23" xfId="1" applyBorder="1" applyAlignment="1">
      <alignment vertical="center"/>
    </xf>
    <xf numFmtId="0" fontId="20" fillId="0" borderId="33" xfId="1" applyBorder="1" applyAlignment="1">
      <alignment vertical="center"/>
    </xf>
    <xf numFmtId="0" fontId="26" fillId="0" borderId="21" xfId="0" applyFont="1" applyBorder="1" applyAlignment="1">
      <alignment horizontal="left" vertical="center" wrapText="1"/>
    </xf>
    <xf numFmtId="0" fontId="26" fillId="0" borderId="12" xfId="0" applyFont="1" applyBorder="1" applyAlignment="1">
      <alignment horizontal="left" vertical="center" wrapText="1"/>
    </xf>
    <xf numFmtId="0" fontId="26" fillId="0" borderId="13" xfId="0" applyFont="1" applyBorder="1" applyAlignment="1">
      <alignment horizontal="left" vertical="center" wrapText="1"/>
    </xf>
    <xf numFmtId="0" fontId="26" fillId="0" borderId="36" xfId="0" applyFont="1" applyBorder="1" applyAlignment="1">
      <alignment horizontal="left" vertical="center" wrapText="1"/>
    </xf>
    <xf numFmtId="15" fontId="26" fillId="0" borderId="12" xfId="0" applyNumberFormat="1" applyFont="1" applyBorder="1" applyAlignment="1">
      <alignment horizontal="center" vertical="top" wrapText="1"/>
    </xf>
    <xf numFmtId="0" fontId="27" fillId="0" borderId="22" xfId="0" applyFont="1" applyBorder="1" applyAlignment="1">
      <alignment horizontal="center" vertical="center" wrapText="1"/>
    </xf>
    <xf numFmtId="0" fontId="27" fillId="0" borderId="24" xfId="0" applyFont="1" applyBorder="1" applyAlignment="1">
      <alignment horizontal="center" vertical="center" wrapText="1"/>
    </xf>
    <xf numFmtId="15" fontId="2" fillId="0" borderId="32" xfId="0" applyNumberFormat="1" applyFont="1" applyBorder="1" applyAlignment="1">
      <alignment vertical="top" wrapText="1"/>
    </xf>
    <xf numFmtId="15" fontId="2" fillId="0" borderId="22" xfId="0" applyNumberFormat="1" applyFont="1" applyBorder="1" applyAlignment="1">
      <alignment vertical="top" wrapText="1"/>
    </xf>
    <xf numFmtId="15" fontId="26" fillId="0" borderId="9" xfId="0" applyNumberFormat="1" applyFont="1" applyBorder="1" applyAlignment="1">
      <alignment horizontal="center" vertical="center"/>
    </xf>
    <xf numFmtId="0" fontId="20" fillId="0" borderId="9" xfId="1" applyBorder="1" applyAlignment="1">
      <alignment vertical="center" wrapText="1"/>
    </xf>
    <xf numFmtId="0" fontId="38" fillId="19" borderId="0" xfId="0" applyFont="1" applyFill="1" applyAlignment="1">
      <alignment horizontal="left" vertical="center" wrapText="1"/>
    </xf>
    <xf numFmtId="0" fontId="37" fillId="19" borderId="0" xfId="0" applyFont="1" applyFill="1" applyAlignment="1">
      <alignment horizontal="left" vertical="center" wrapText="1"/>
    </xf>
    <xf numFmtId="0" fontId="37" fillId="19" borderId="10" xfId="0" applyFont="1" applyFill="1" applyBorder="1" applyAlignment="1">
      <alignment horizontal="left" vertical="center" wrapText="1"/>
    </xf>
    <xf numFmtId="0" fontId="38" fillId="19" borderId="10" xfId="0" applyFont="1" applyFill="1" applyBorder="1" applyAlignment="1">
      <alignment horizontal="left" vertical="center" wrapText="1"/>
    </xf>
    <xf numFmtId="0" fontId="37" fillId="19" borderId="35" xfId="0" applyFont="1" applyFill="1" applyBorder="1" applyAlignment="1">
      <alignment horizontal="left" vertical="center" wrapText="1"/>
    </xf>
    <xf numFmtId="0" fontId="26" fillId="0" borderId="7" xfId="0" applyFont="1" applyBorder="1" applyAlignment="1">
      <alignment vertical="center"/>
    </xf>
    <xf numFmtId="0" fontId="26" fillId="0" borderId="8" xfId="0" applyFont="1" applyBorder="1" applyAlignment="1">
      <alignment vertical="center"/>
    </xf>
    <xf numFmtId="0" fontId="26" fillId="0" borderId="9" xfId="0" applyFont="1" applyBorder="1" applyAlignment="1">
      <alignment vertical="center"/>
    </xf>
    <xf numFmtId="0" fontId="39" fillId="20" borderId="35" xfId="0" applyFont="1" applyFill="1" applyBorder="1" applyAlignment="1">
      <alignment horizontal="center" vertical="center"/>
    </xf>
    <xf numFmtId="0" fontId="33" fillId="20" borderId="0" xfId="0" applyFont="1" applyFill="1" applyAlignment="1">
      <alignment horizontal="center" vertical="center"/>
    </xf>
    <xf numFmtId="0" fontId="33" fillId="20" borderId="10" xfId="0" applyFont="1" applyFill="1" applyBorder="1" applyAlignment="1">
      <alignment horizontal="center" vertical="center"/>
    </xf>
    <xf numFmtId="0" fontId="39" fillId="21" borderId="35" xfId="0" applyFont="1" applyFill="1" applyBorder="1" applyAlignment="1">
      <alignment horizontal="center" vertical="center"/>
    </xf>
    <xf numFmtId="0" fontId="33" fillId="21" borderId="0" xfId="0" applyFont="1" applyFill="1" applyAlignment="1">
      <alignment horizontal="center" vertical="center"/>
    </xf>
    <xf numFmtId="0" fontId="39" fillId="20" borderId="0" xfId="0" applyFont="1" applyFill="1" applyAlignment="1">
      <alignment horizontal="center" vertical="center"/>
    </xf>
    <xf numFmtId="0" fontId="39" fillId="21" borderId="0" xfId="0" applyFont="1" applyFill="1" applyAlignment="1">
      <alignment horizontal="center" vertical="center"/>
    </xf>
    <xf numFmtId="0" fontId="33" fillId="21" borderId="10" xfId="0" applyFont="1" applyFill="1" applyBorder="1" applyAlignment="1">
      <alignment horizontal="center" vertical="center"/>
    </xf>
    <xf numFmtId="0" fontId="37" fillId="19" borderId="14" xfId="0" applyFont="1" applyFill="1" applyBorder="1" applyAlignment="1">
      <alignment horizontal="left" vertical="center" wrapText="1"/>
    </xf>
    <xf numFmtId="0" fontId="37" fillId="19" borderId="15" xfId="0" applyFont="1" applyFill="1" applyBorder="1" applyAlignment="1">
      <alignment horizontal="left" vertical="center" wrapText="1"/>
    </xf>
    <xf numFmtId="0" fontId="37" fillId="19" borderId="16" xfId="0" applyFont="1" applyFill="1" applyBorder="1" applyAlignment="1">
      <alignment horizontal="left" vertical="center" wrapText="1"/>
    </xf>
    <xf numFmtId="0" fontId="38" fillId="19" borderId="14" xfId="0" applyFont="1" applyFill="1" applyBorder="1" applyAlignment="1">
      <alignment horizontal="left" vertical="center" wrapText="1"/>
    </xf>
    <xf numFmtId="0" fontId="32" fillId="7" borderId="0" xfId="0" applyFont="1" applyFill="1" applyAlignment="1">
      <alignment horizontal="center" vertical="center" wrapText="1"/>
    </xf>
    <xf numFmtId="0" fontId="23" fillId="12" borderId="37" xfId="0" applyFont="1" applyFill="1" applyBorder="1" applyAlignment="1">
      <alignment horizontal="left" vertical="top" wrapText="1"/>
    </xf>
    <xf numFmtId="164" fontId="17" fillId="12" borderId="37" xfId="0" applyNumberFormat="1" applyFont="1" applyFill="1" applyBorder="1" applyAlignment="1">
      <alignment horizontal="center" vertical="center" wrapText="1"/>
    </xf>
    <xf numFmtId="164" fontId="16" fillId="12" borderId="37" xfId="0" applyNumberFormat="1" applyFont="1" applyFill="1" applyBorder="1" applyAlignment="1">
      <alignment horizontal="center" vertical="center" wrapText="1"/>
    </xf>
    <xf numFmtId="0" fontId="25" fillId="15" borderId="8" xfId="0" applyFont="1" applyFill="1" applyBorder="1" applyAlignment="1">
      <alignment horizontal="center" vertical="center" wrapText="1"/>
    </xf>
    <xf numFmtId="0" fontId="25" fillId="15" borderId="8" xfId="0" applyFont="1" applyFill="1" applyBorder="1" applyAlignment="1">
      <alignment horizontal="left" vertical="center" wrapText="1"/>
    </xf>
    <xf numFmtId="0" fontId="0" fillId="0" borderId="38" xfId="0" applyBorder="1" applyAlignment="1">
      <alignment vertical="center" wrapText="1"/>
    </xf>
    <xf numFmtId="0" fontId="0" fillId="5" borderId="38" xfId="0" applyFill="1" applyBorder="1" applyAlignment="1">
      <alignment vertical="center"/>
    </xf>
    <xf numFmtId="0" fontId="8" fillId="4" borderId="39"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0" fillId="11" borderId="2" xfId="0" applyFill="1" applyBorder="1" applyAlignment="1">
      <alignment horizontal="center" vertical="center" wrapText="1"/>
    </xf>
    <xf numFmtId="0" fontId="0" fillId="0" borderId="3" xfId="0" applyBorder="1"/>
    <xf numFmtId="0" fontId="0" fillId="0" borderId="4" xfId="0" applyBorder="1"/>
    <xf numFmtId="0" fontId="10" fillId="8" borderId="0" xfId="0" applyFont="1" applyFill="1" applyAlignment="1">
      <alignment horizontal="left" vertical="center"/>
    </xf>
    <xf numFmtId="0" fontId="0" fillId="0" borderId="0" xfId="0"/>
    <xf numFmtId="0" fontId="12" fillId="9" borderId="0" xfId="0" applyFont="1" applyFill="1" applyAlignment="1">
      <alignment horizontal="left" vertical="center" wrapText="1"/>
    </xf>
    <xf numFmtId="0" fontId="13" fillId="10" borderId="2" xfId="0" applyFont="1" applyFill="1" applyBorder="1" applyAlignment="1">
      <alignment horizontal="center" vertical="center" wrapText="1"/>
    </xf>
    <xf numFmtId="0" fontId="22" fillId="10" borderId="2" xfId="0" applyFont="1" applyFill="1" applyBorder="1" applyAlignment="1">
      <alignment horizontal="center" vertical="center" wrapText="1"/>
    </xf>
    <xf numFmtId="0" fontId="5" fillId="2" borderId="0" xfId="0" applyFont="1" applyFill="1" applyAlignment="1">
      <alignment horizontal="left" vertical="center"/>
    </xf>
    <xf numFmtId="0" fontId="1" fillId="2" borderId="0" xfId="0" applyFont="1" applyFill="1" applyAlignment="1">
      <alignment horizontal="left" vertical="center"/>
    </xf>
    <xf numFmtId="0" fontId="3" fillId="3" borderId="0" xfId="0" applyFont="1" applyFill="1" applyAlignment="1">
      <alignment wrapText="1"/>
    </xf>
    <xf numFmtId="0" fontId="6" fillId="3" borderId="0" xfId="0" applyFont="1" applyFill="1" applyAlignment="1">
      <alignment wrapText="1"/>
    </xf>
    <xf numFmtId="0" fontId="11" fillId="8" borderId="0" xfId="0" applyFont="1" applyFill="1" applyAlignment="1">
      <alignment horizontal="left" vertical="center" wrapText="1"/>
    </xf>
    <xf numFmtId="0" fontId="2" fillId="0" borderId="0" xfId="0" applyFont="1" applyAlignment="1">
      <alignment horizontal="center"/>
    </xf>
    <xf numFmtId="0" fontId="1" fillId="22" borderId="0" xfId="0" applyFont="1" applyFill="1" applyAlignment="1">
      <alignment horizontal="left" vertical="center"/>
    </xf>
    <xf numFmtId="0" fontId="3" fillId="23" borderId="0" xfId="0" applyFont="1" applyFill="1" applyAlignment="1">
      <alignment horizontal="left" wrapText="1"/>
    </xf>
  </cellXfs>
  <cellStyles count="2">
    <cellStyle name="Hyperlink" xfId="1" builtinId="8"/>
    <cellStyle name="Normal" xfId="0" builtinId="0"/>
  </cellStyles>
  <dxfs count="114">
    <dxf>
      <fill>
        <patternFill patternType="solid">
          <bgColor rgb="FFFEF3C7"/>
        </patternFill>
      </fill>
    </dxf>
    <dxf>
      <fill>
        <patternFill patternType="solid">
          <bgColor rgb="FFDCFCE7"/>
        </patternFill>
      </fill>
    </dxf>
    <dxf>
      <fill>
        <patternFill patternType="solid">
          <bgColor rgb="FFDCFCE7"/>
        </patternFill>
      </fill>
    </dxf>
    <dxf>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DCFCE7"/>
        </patternFill>
      </fill>
    </dxf>
    <dxf>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ont>
        <color rgb="FF245B78"/>
      </font>
      <fill>
        <patternFill patternType="solid">
          <fgColor indexed="64"/>
          <bgColor rgb="FFEAF2F8"/>
        </patternFill>
      </fill>
    </dxf>
    <dxf>
      <font>
        <color rgb="FF145C50"/>
      </font>
      <fill>
        <patternFill patternType="solid">
          <fgColor indexed="64"/>
          <bgColor rgb="FFE6F4F1"/>
        </patternFill>
      </fill>
    </dxf>
    <dxf>
      <font>
        <color rgb="FF654A85"/>
      </font>
      <fill>
        <patternFill patternType="solid">
          <fgColor indexed="64"/>
          <bgColor rgb="FFE8E1F2"/>
        </patternFill>
      </fill>
    </dxf>
    <dxf>
      <font>
        <color rgb="FF8A5A00"/>
      </font>
      <fill>
        <patternFill patternType="solid">
          <fgColor indexed="64"/>
          <bgColor rgb="FFFFF4CC"/>
        </patternFill>
      </fill>
    </dxf>
    <dxf>
      <font>
        <color rgb="FFB91C1C"/>
      </font>
      <fill>
        <patternFill patternType="solid">
          <fgColor indexed="64"/>
          <bgColor rgb="FFFCE8E6"/>
        </patternFill>
      </fill>
    </dxf>
    <dxf>
      <fill>
        <patternFill patternType="solid">
          <bgColor rgb="FFFEF3C7"/>
        </patternFill>
      </fill>
    </dxf>
    <dxf>
      <fill>
        <patternFill patternType="solid">
          <bgColor rgb="FFDCFCE7"/>
        </patternFill>
      </fill>
    </dxf>
    <dxf>
      <fill>
        <patternFill patternType="solid">
          <bgColor rgb="FFDCFCE7"/>
        </patternFill>
      </fill>
    </dxf>
    <dxf>
      <fill>
        <patternFill patternType="solid">
          <bgColor rgb="FFFEE2E2"/>
        </patternFill>
      </fill>
    </dxf>
    <dxf>
      <fill>
        <patternFill patternType="solid">
          <bgColor rgb="FFFEE2E2"/>
        </patternFill>
      </fill>
    </dxf>
    <dxf>
      <fill>
        <patternFill patternType="solid">
          <bgColor rgb="FFDBEAFE"/>
        </patternFill>
      </fill>
    </dxf>
    <dxf>
      <fill>
        <patternFill patternType="solid">
          <bgColor rgb="FFFEF3C7"/>
        </patternFill>
      </fill>
    </dxf>
    <dxf>
      <fill>
        <patternFill patternType="solid">
          <bgColor rgb="FFFEE2E2"/>
        </patternFill>
      </fill>
    </dxf>
    <dxf>
      <font>
        <color rgb="FF5B6573"/>
      </font>
      <fill>
        <patternFill>
          <bgColor rgb="FFF3F4F6"/>
        </patternFill>
      </fill>
    </dxf>
    <dxf>
      <font>
        <color rgb="FF9C0006"/>
      </font>
      <fill>
        <patternFill>
          <bgColor rgb="FFFDECEC"/>
        </patternFill>
      </fill>
    </dxf>
    <dxf>
      <font>
        <color rgb="FF0B6E4F"/>
      </font>
      <fill>
        <patternFill>
          <bgColor rgb="FFEAF5EF"/>
        </patternFill>
      </fill>
    </dxf>
    <dxf>
      <font>
        <color rgb="FF7F6000"/>
      </font>
      <fill>
        <patternFill>
          <bgColor rgb="FFFFF2CC"/>
        </patternFill>
      </fill>
    </dxf>
    <dxf>
      <font>
        <color rgb="FF1F4E79"/>
      </font>
      <fill>
        <patternFill>
          <bgColor rgb="FFD9EAF7"/>
        </patternFill>
      </fill>
    </dxf>
    <dxf>
      <font>
        <color rgb="FF006100"/>
      </font>
      <fill>
        <patternFill>
          <bgColor rgb="FFC6EFCE"/>
        </patternFill>
      </fill>
    </dxf>
    <dxf>
      <font>
        <color rgb="FF5B6573"/>
      </font>
      <fill>
        <patternFill>
          <bgColor rgb="FFF3F4F6"/>
        </patternFill>
      </fill>
    </dxf>
    <dxf>
      <font>
        <color rgb="FF9C0006"/>
      </font>
      <fill>
        <patternFill>
          <bgColor rgb="FFFDECEC"/>
        </patternFill>
      </fill>
    </dxf>
    <dxf>
      <font>
        <color rgb="FF0B6E4F"/>
      </font>
      <fill>
        <patternFill>
          <bgColor rgb="FFEAF5EF"/>
        </patternFill>
      </fill>
    </dxf>
    <dxf>
      <font>
        <color rgb="FF7F6000"/>
      </font>
      <fill>
        <patternFill>
          <bgColor rgb="FFFFF2CC"/>
        </patternFill>
      </fill>
    </dxf>
    <dxf>
      <font>
        <color rgb="FF1F4E79"/>
      </font>
      <fill>
        <patternFill>
          <bgColor rgb="FFD9EAF7"/>
        </patternFill>
      </fill>
    </dxf>
    <dxf>
      <font>
        <color rgb="FF006100"/>
      </font>
      <fill>
        <patternFill>
          <bgColor rgb="FFC6EFCE"/>
        </patternFill>
      </fill>
    </dxf>
    <dxf>
      <font>
        <b/>
        <color rgb="FF0B6E4F"/>
      </font>
      <fill>
        <patternFill>
          <bgColor rgb="FFEAF5EF"/>
        </patternFill>
      </fill>
    </dxf>
    <dxf>
      <font>
        <b/>
        <color rgb="FF7F6000"/>
      </font>
      <fill>
        <patternFill>
          <bgColor rgb="FFFFF2CC"/>
        </patternFill>
      </fill>
    </dxf>
    <dxf>
      <font>
        <b/>
        <color rgb="FF9C0006"/>
      </font>
      <fill>
        <patternFill>
          <bgColor rgb="FFFDECEC"/>
        </patternFill>
      </fill>
    </dxf>
    <dxf>
      <font>
        <color rgb="FF5B6573"/>
      </font>
      <fill>
        <patternFill>
          <bgColor rgb="FFF3F4F6"/>
        </patternFill>
      </fill>
    </dxf>
    <dxf>
      <font>
        <color rgb="FF9C0006"/>
      </font>
      <fill>
        <patternFill>
          <bgColor rgb="FFFDECEC"/>
        </patternFill>
      </fill>
    </dxf>
    <dxf>
      <font>
        <color rgb="FF0B6E4F"/>
      </font>
      <fill>
        <patternFill>
          <bgColor rgb="FFEAF5EF"/>
        </patternFill>
      </fill>
    </dxf>
    <dxf>
      <font>
        <color rgb="FF7F6000"/>
      </font>
      <fill>
        <patternFill>
          <bgColor rgb="FFFFF2CC"/>
        </patternFill>
      </fill>
    </dxf>
    <dxf>
      <font>
        <color rgb="FF1F4E79"/>
      </font>
      <fill>
        <patternFill>
          <bgColor rgb="FFD9EAF7"/>
        </patternFill>
      </fill>
    </dxf>
    <dxf>
      <font>
        <color rgb="FF006100"/>
      </font>
      <fill>
        <patternFill>
          <bgColor rgb="FFC6EFCE"/>
        </patternFill>
      </fill>
    </dxf>
    <dxf>
      <font>
        <color rgb="FF5B6573"/>
      </font>
      <fill>
        <patternFill>
          <bgColor rgb="FFF3F4F6"/>
        </patternFill>
      </fill>
    </dxf>
    <dxf>
      <font>
        <color rgb="FF9C0006"/>
      </font>
      <fill>
        <patternFill>
          <bgColor rgb="FFFDECEC"/>
        </patternFill>
      </fill>
    </dxf>
    <dxf>
      <font>
        <color rgb="FF0B6E4F"/>
      </font>
      <fill>
        <patternFill>
          <bgColor rgb="FFEAF5EF"/>
        </patternFill>
      </fill>
    </dxf>
    <dxf>
      <font>
        <color rgb="FF7F6000"/>
      </font>
      <fill>
        <patternFill>
          <bgColor rgb="FFFFF2CC"/>
        </patternFill>
      </fill>
    </dxf>
    <dxf>
      <font>
        <color rgb="FF1F4E79"/>
      </font>
      <fill>
        <patternFill>
          <bgColor rgb="FFD9EAF7"/>
        </patternFill>
      </fill>
    </dxf>
    <dxf>
      <font>
        <color rgb="FF006100"/>
      </font>
      <fill>
        <patternFill>
          <bgColor rgb="FFC6EFCE"/>
        </patternFill>
      </fill>
    </dxf>
    <dxf>
      <fill>
        <patternFill patternType="solid">
          <bgColor rgb="FFFEF3C7"/>
        </patternFill>
      </fill>
    </dxf>
    <dxf>
      <fill>
        <patternFill patternType="solid">
          <bgColor rgb="FFDCFCE7"/>
        </patternFill>
      </fill>
    </dxf>
    <dxf>
      <fill>
        <patternFill patternType="solid">
          <bgColor rgb="FFDCFCE7"/>
        </patternFill>
      </fill>
    </dxf>
    <dxf>
      <fill>
        <patternFill patternType="solid">
          <bgColor rgb="FFFEE2E2"/>
        </patternFill>
      </fill>
    </dxf>
    <dxf>
      <fill>
        <patternFill patternType="solid">
          <bgColor rgb="FFFEE2E2"/>
        </patternFill>
      </fill>
    </dxf>
    <dxf>
      <font>
        <b/>
        <color rgb="FF0B6E4F"/>
      </font>
      <fill>
        <patternFill>
          <bgColor rgb="FFEAF5EF"/>
        </patternFill>
      </fill>
    </dxf>
    <dxf>
      <font>
        <b/>
        <color rgb="FF7F6000"/>
      </font>
      <fill>
        <patternFill>
          <bgColor rgb="FFFFF2CC"/>
        </patternFill>
      </fill>
    </dxf>
    <dxf>
      <font>
        <b/>
        <color rgb="FF9C0006"/>
      </font>
      <fill>
        <patternFill>
          <bgColor rgb="FFFDECEC"/>
        </patternFill>
      </fill>
    </dxf>
    <dxf>
      <fill>
        <patternFill patternType="solid">
          <bgColor rgb="FFFEF3C7"/>
        </patternFill>
      </fill>
    </dxf>
    <dxf>
      <fill>
        <patternFill patternType="solid">
          <bgColor rgb="FFDCFCE7"/>
        </patternFill>
      </fill>
    </dxf>
    <dxf>
      <fill>
        <patternFill patternType="solid">
          <bgColor rgb="FFDCFCE7"/>
        </patternFill>
      </fill>
    </dxf>
    <dxf>
      <fill>
        <patternFill patternType="solid">
          <bgColor rgb="FFFEE2E2"/>
        </patternFill>
      </fill>
    </dxf>
    <dxf>
      <fill>
        <patternFill patternType="solid">
          <bgColor rgb="FFFEE2E2"/>
        </patternFill>
      </fill>
    </dxf>
    <dxf>
      <fill>
        <patternFill patternType="solid">
          <bgColor rgb="FFDBEAFE"/>
        </patternFill>
      </fill>
    </dxf>
    <dxf>
      <fill>
        <patternFill patternType="solid">
          <bgColor rgb="FFFEF3C7"/>
        </patternFill>
      </fill>
    </dxf>
    <dxf>
      <fill>
        <patternFill patternType="solid">
          <bgColor rgb="FFFEE2E2"/>
        </patternFill>
      </fill>
    </dxf>
    <dxf>
      <font>
        <sz val="10"/>
        <color rgb="FF000000"/>
        <name val="Arial"/>
      </font>
      <alignment horizontal="left" vertical="top" wrapText="1"/>
    </dxf>
    <dxf>
      <font>
        <sz val="10"/>
        <color rgb="FF000000"/>
        <name val="Arial"/>
      </font>
      <alignment horizontal="left" vertical="top" wrapText="1"/>
    </dxf>
    <dxf>
      <font>
        <sz val="10"/>
        <color rgb="FF000000"/>
        <name val="Arial"/>
      </font>
      <alignment horizontal="left" vertical="top" wrapText="1"/>
    </dxf>
    <dxf>
      <font>
        <sz val="10"/>
        <color rgb="FF000000"/>
        <name val="Arial"/>
      </font>
      <alignment horizontal="left" vertical="top" wrapText="1"/>
    </dxf>
    <dxf>
      <font>
        <sz val="10"/>
        <color rgb="FF000000"/>
        <name val="Arial"/>
      </font>
      <alignment horizontal="left" vertical="top" wrapText="1"/>
    </dxf>
    <dxf>
      <font>
        <b/>
        <sz val="10"/>
        <color rgb="FFFFFFFF"/>
        <name val="Arial"/>
      </font>
      <fill>
        <patternFill patternType="solid">
          <fgColor indexed="64"/>
          <bgColor rgb="FF145C50"/>
        </patternFill>
      </fill>
      <alignment horizontal="center" vertical="center" wrapText="1"/>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Carlito"/>
        <scheme val="none"/>
      </font>
      <fill>
        <patternFill patternType="solid">
          <fgColor indexed="64"/>
          <bgColor rgb="FF0F766E"/>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scheme val="none"/>
      </font>
      <fill>
        <patternFill patternType="solid">
          <fgColor indexed="64"/>
          <bgColor rgb="FFF2F2F2"/>
        </patternFill>
      </fill>
      <alignment horizontal="left" vertical="center"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2F2F2"/>
        </patternFill>
      </fill>
      <alignment horizontal="left"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0" formatCode="dd\-mmm\-yy"/>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bottom/>
        <vertical/>
        <horizontal/>
      </border>
    </dxf>
    <dxf>
      <border outline="0">
        <top style="thin">
          <color indexed="64"/>
        </top>
      </border>
    </dxf>
    <dxf>
      <font>
        <b/>
        <i val="0"/>
        <strike val="0"/>
        <condense val="0"/>
        <extend val="0"/>
        <outline val="0"/>
        <shadow val="0"/>
        <u val="none"/>
        <vertAlign val="baseline"/>
        <sz val="12"/>
        <color rgb="FFFFFFFF"/>
        <name val="Calibri"/>
        <family val="2"/>
        <scheme val="none"/>
      </font>
      <fill>
        <patternFill patternType="solid">
          <fgColor rgb="FF000000"/>
          <bgColor rgb="FF333E48"/>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fgColor indexed="64"/>
          <bgColor theme="5" tint="0.79998168889431442"/>
        </patternFill>
      </fill>
    </dxf>
    <dxf>
      <fill>
        <patternFill>
          <fgColor indexed="64"/>
          <bgColor theme="5" tint="0.79998168889431442"/>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ecSummaryTable" displayName="ExecSummaryTable" ref="A4:B8">
  <tableColumns count="2">
    <tableColumn id="1" xr3:uid="{00000000-0010-0000-0000-000001000000}" name="Executive Topic"/>
    <tableColumn id="2" xr3:uid="{00000000-0010-0000-0000-000002000000}" name="Summa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piTable" displayName="KpiTable" ref="A11:B18">
  <tableColumns count="2">
    <tableColumn id="1" xr3:uid="{00000000-0010-0000-0100-000001000000}" name="Exec Summary"/>
    <tableColumn id="2" xr3:uid="{00000000-0010-0000-0100-000002000000}" name="Formula / Resul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EngagementStrategy" displayName="tblEngagementStrategy" ref="A4:R19">
  <tableColumns count="18">
    <tableColumn id="1" xr3:uid="{00000000-0010-0000-0200-000001000000}" name="Priority Rank"/>
    <tableColumn id="2" xr3:uid="{00000000-0010-0000-0200-000002000000}" name="Stakeholder / Cluster"/>
    <tableColumn id="3" xr3:uid="{00000000-0010-0000-0200-000003000000}" name="Specific Department / Counterpart"/>
    <tableColumn id="4" xr3:uid="{00000000-0010-0000-0200-000004000000}" name="Technical specialization"/>
    <tableColumn id="5" xr3:uid="{00000000-0010-0000-0200-000005000000}" name="Stage 3–4 Engagement Purpose" dataDxfId="113"/>
    <tableColumn id="6" xr3:uid="{00000000-0010-0000-0200-000006000000}" name="Influence"/>
    <tableColumn id="7" xr3:uid="{00000000-0010-0000-0200-000007000000}" name="Interest"/>
    <tableColumn id="8" xr3:uid="{00000000-0010-0000-0200-000008000000}" name="Priority"/>
    <tableColumn id="9" xr3:uid="{00000000-0010-0000-0200-000009000000}" name="Engagement Objective" dataDxfId="112"/>
    <tableColumn id="10" xr3:uid="{00000000-0010-0000-0200-00000A000000}" name="Information / Decision Required" dataDxfId="111"/>
    <tableColumn id="11" xr3:uid="{00000000-0010-0000-0200-00000B000000}" name="Recommended Channel"/>
    <tableColumn id="12" xr3:uid="{00000000-0010-0000-0200-00000C000000}" name="Project Owner"/>
    <tableColumn id="13" xr3:uid="{00000000-0010-0000-0200-00000D000000}" name="Frequency"/>
    <tableColumn id="14" xr3:uid="{00000000-0010-0000-0200-00000E000000}" name="Planned Contact Window"/>
    <tableColumn id="15" xr3:uid="{00000000-0010-0000-0200-00000F000000}" name="Expected Output"/>
    <tableColumn id="16" xr3:uid="{00000000-0010-0000-0200-000010000000}" name="Escalation Route"/>
    <tableColumn id="17" xr3:uid="{00000000-0010-0000-0200-000011000000}" name="Current Status"/>
    <tableColumn id="18" xr3:uid="{00000000-0010-0000-0200-000012000000}" name="Source / Evid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ngagementSchedule" displayName="EngagementSchedule" ref="A4:M15">
  <tableColumns count="13">
    <tableColumn id="1" xr3:uid="{00000000-0010-0000-0300-000001000000}" name="No."/>
    <tableColumn id="2" xr3:uid="{00000000-0010-0000-0300-000002000000}" name="Stakeholder / Cluster"/>
    <tableColumn id="3" xr3:uid="{00000000-0010-0000-0300-000003000000}" name="Meeting Type"/>
    <tableColumn id="4" xr3:uid="{00000000-0010-0000-0300-000004000000}" name="Proposed Date"/>
    <tableColumn id="5" xr3:uid="{00000000-0010-0000-0300-000005000000}" name="Timing Gate"/>
    <tableColumn id="6" xr3:uid="{00000000-0010-0000-0300-000006000000}" name="Objective"/>
    <tableColumn id="7" xr3:uid="{00000000-0010-0000-0300-000007000000}" name="Inputs Required Before Meeting"/>
    <tableColumn id="8" xr3:uid="{00000000-0010-0000-0300-000008000000}" name="Expected Outputs"/>
    <tableColumn id="9" xr3:uid="{00000000-0010-0000-0300-000009000000}" name="Preparation Owner"/>
    <tableColumn id="10" xr3:uid="{00000000-0010-0000-0300-00000A000000}" name="Follow-up Owner"/>
    <tableColumn id="11" xr3:uid="{00000000-0010-0000-0300-00000B000000}" name="Status"/>
    <tableColumn id="12" xr3:uid="{00000000-0010-0000-0300-00000C000000}" name="Action Closure Deadline"/>
    <tableColumn id="13" xr3:uid="{00000000-0010-0000-0300-00000D000000}" name="Assumption / Dependenc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30AE9F5-9FD0-4B35-ABED-8506C95AD38E}" name="Stage3Tracker" displayName="Stage3Tracker" ref="A23:Q31">
  <autoFilter ref="A23:Q31" xr:uid="{730AE9F5-9FD0-4B35-ABED-8506C95AD38E}"/>
  <tableColumns count="17">
    <tableColumn id="1" xr3:uid="{32BD0B3E-9628-45C6-A7DA-B08DF03EE2D7}" name="Seq"/>
    <tableColumn id="2" xr3:uid="{F99262CB-0E6F-443D-AC8F-7013A677016A}" name="Priority"/>
    <tableColumn id="3" xr3:uid="{E17CFE40-C144-43E4-86AD-482B869278C8}" name="Track"/>
    <tableColumn id="4" xr3:uid="{ABBA4F94-0C75-4BCC-8A34-F25DA699E65F}" name="Stakeholder"/>
    <tableColumn id="5" xr3:uid="{9D1D0BB6-C48D-4193-BA54-A8FA054D927E}" name="Recommended Department / Team"/>
    <tableColumn id="6" xr3:uid="{68D9FD13-D2FB-4841-BF3C-7B90F594AE48}" name="Responsibility Snapshot"/>
    <tableColumn id="7" xr3:uid="{F19ED5B6-456C-4186-B4F7-5A1D5AABC2CA}" name="Stage 3 -4 Meeting Objective"/>
    <tableColumn id="8" xr3:uid="{7F90BEDD-3C32-44D3-8D08-D9F5F49AD1D6}" name="Key Output"/>
    <tableColumn id="9" xr3:uid="{ABAB6075-7B44-4775-80EF-1EC8D413CF9E}" name="Proposed Week"/>
    <tableColumn id="10" xr3:uid="{CCB570F2-9A36-417B-A299-75B3FC52F619}" name="Meeting Date"/>
    <tableColumn id="12" xr3:uid="{370CAA2D-C41C-40BF-A5F9-61A65590CA3C}" name="Draft to Client">
      <calculatedColumnFormula>IF(ISBLANK($J24),"",WORKDAY($J24,-5))</calculatedColumnFormula>
    </tableColumn>
    <tableColumn id="14" xr3:uid="{54A2423F-A4CD-4460-B2A2-2FBB6B1D4D35}" name="Final Deck">
      <calculatedColumnFormula>IF(ISBLANK($J24),"",WORKDAY($J24,-1))</calculatedColumnFormula>
    </tableColumn>
    <tableColumn id="15" xr3:uid="{3ACFCE28-7E99-4DF0-814D-A93CDB6B066F}" name="MOM Due">
      <calculatedColumnFormula>IF(ISBLANK($J24),"",WORKDAY($J24,1))</calculatedColumnFormula>
    </tableColumn>
    <tableColumn id="16" xr3:uid="{E2E92143-DCFF-42D8-BE2D-F3C1D5E9D256}" name="Lubna/Hind Request"/>
    <tableColumn id="18" xr3:uid="{EBC4FE84-35FC-4FA2-BB93-533C167B6CCB}" name="Status"/>
    <tableColumn id="19" xr3:uid="{A3103FBB-965B-415A-80BD-B0A92751BE2F}" name="Owner"/>
    <tableColumn id="20" xr3:uid="{8406A13C-B464-47A6-BA88-0C0D128BDA78}" name="Notes / Dependencies"/>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eetingAgendas" displayName="MeetingAgendas" ref="A4:J65">
  <tableColumns count="10">
    <tableColumn id="1" xr3:uid="{00000000-0010-0000-0400-000001000000}" name="Meeting ID"/>
    <tableColumn id="2" xr3:uid="{00000000-0010-0000-0400-000002000000}" name="Stakeholder / Cluster"/>
    <tableColumn id="3" xr3:uid="{00000000-0010-0000-0400-000003000000}" name="Meeting Objective"/>
    <tableColumn id="4" xr3:uid="{00000000-0010-0000-0400-000004000000}" name="Project-Specific Background"/>
    <tableColumn id="5" xr3:uid="{00000000-0010-0000-0400-000005000000}" name="Agenda Item"/>
    <tableColumn id="6" xr3:uid="{00000000-0010-0000-0400-000006000000}" name="Discussion Focus / Questions"/>
    <tableColumn id="7" xr3:uid="{00000000-0010-0000-0400-000007000000}" name="Required Input or Decision"/>
    <tableColumn id="8" xr3:uid="{00000000-0010-0000-0400-000008000000}" name="Duration (min)"/>
    <tableColumn id="9" xr3:uid="{00000000-0010-0000-0400-000009000000}" name="Lead"/>
    <tableColumn id="10" xr3:uid="{00000000-0010-0000-0400-00000A000000}" name="Expected Outpu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8AD49F2-D3B3-4A09-900E-B45222471D23}" name="tblSchedulingPriority" displayName="tblSchedulingPriority" ref="A7:Q15">
  <autoFilter ref="A7:Q15" xr:uid="{08AD49F2-D3B3-4A09-900E-B45222471D23}"/>
  <tableColumns count="17">
    <tableColumn id="1" xr3:uid="{48F50504-136A-4656-ACE5-8E638B839C26}" name="Seq"/>
    <tableColumn id="2" xr3:uid="{169587B7-7E7C-4007-BBFB-ABA6D734EEE9}" name="Priority"/>
    <tableColumn id="3" xr3:uid="{0727AF1A-053C-4FA5-B444-05D4917303DA}" name="Track"/>
    <tableColumn id="4" xr3:uid="{DE361F5E-F183-44BF-88DD-01573AAC1299}" name="Stakeholder"/>
    <tableColumn id="5" xr3:uid="{031E9951-9409-4953-AFD0-7E6F9DD9828B}" name="Contact person"/>
    <tableColumn id="6" xr3:uid="{7ADF3B50-D54E-4829-83E4-C8FA60003164}" name="Responsibility Snapshot"/>
    <tableColumn id="7" xr3:uid="{4315FACC-2DCC-4463-A704-B4A1DD4AB76A}" name="Meeting Objective"/>
    <tableColumn id="8" xr3:uid="{31F7AB79-83F1-44D2-823D-0BEB39724322}" name="Key Output"/>
    <tableColumn id="9" xr3:uid="{3E8511F0-0331-48B0-BFD0-ED9375C13098}" name="Proposed Week"/>
    <tableColumn id="10" xr3:uid="{46A2A0A4-3B07-4C1E-B0BE-5C74EB9A8508}" name="Meeting Date"/>
    <tableColumn id="12" xr3:uid="{CA714AA6-5CD4-4BC3-A58B-FB7A87154357}" name="Draft to Client">
      <calculatedColumnFormula>IF(ISBLANK($J8),"",WORKDAY($J8,-5))</calculatedColumnFormula>
    </tableColumn>
    <tableColumn id="14" xr3:uid="{2CF6D09C-949E-4891-A170-61CCDA38BD8A}" name="Final Deck">
      <calculatedColumnFormula>IF(ISBLANK($J8),"",WORKDAY($J8,-1))</calculatedColumnFormula>
    </tableColumn>
    <tableColumn id="15" xr3:uid="{B528324D-AEFB-442C-8FF7-F22A57163543}" name="MOM Due">
      <calculatedColumnFormula>IF(ISBLANK($J8),"",WORKDAY($J8,1))</calculatedColumnFormula>
    </tableColumn>
    <tableColumn id="16" xr3:uid="{B3849B4E-5FEF-487D-B5C7-3C63E1B49B2C}" name="Lubna/Hind Request"/>
    <tableColumn id="18" xr3:uid="{FBD83184-5DF4-435F-BC75-A254AF08E70F}" name="Status"/>
    <tableColumn id="19" xr3:uid="{6B0248E8-8A09-4AA9-A439-9F868CA3C4CA}" name="Owner"/>
    <tableColumn id="20" xr3:uid="{808541A5-9152-4064-9FE4-9CF324EF0028}" name="Notes / Dependencies"/>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390DF44-ACBC-4C53-B8F0-30B2CC2B68C4}" name="tblPreviousTracker" displayName="tblPreviousTracker" ref="A4:R88" totalsRowShown="0" headerRowDxfId="110" tableBorderDxfId="109">
  <autoFilter ref="A4:R88" xr:uid="{F390DF44-ACBC-4C53-B8F0-30B2CC2B68C4}"/>
  <tableColumns count="18">
    <tableColumn id="1" xr3:uid="{129ACBE2-9539-47B1-9BCA-0A43341184AF}" name="S.No" dataDxfId="108"/>
    <tableColumn id="2" xr3:uid="{436AAEF3-BDA0-42AD-AA07-6419D79FB498}" name="Stakeholder Type" dataDxfId="107"/>
    <tableColumn id="3" xr3:uid="{7B2CD316-144D-4F4A-A087-882CE7C36409}" name="Description" dataDxfId="106"/>
    <tableColumn id="4" xr3:uid="{55D07EA8-A742-4410-8955-7D7D2942184C}" name="Stakeholder " dataDxfId="105"/>
    <tableColumn id="5" xr3:uid="{C4FE85D3-BA00-43AC-9F6C-238E04C31655}" name="Date of Engagement" dataDxfId="104"/>
    <tableColumn id="6" xr3:uid="{1F8FACF1-87E2-4539-9020-41E20CB385A2}" name="Key Point Discussed " dataDxfId="103"/>
    <tableColumn id="7" xr3:uid="{A83B2CFD-0CAB-44A8-A2ED-368BBF86042D}" name="Action Items " dataDxfId="102"/>
    <tableColumn id="8" xr3:uid="{F7F2DD5E-73A1-429B-B711-059E4EFD2349}" name="Minutes of meeting" dataDxfId="101" dataCellStyle="Hyperlink"/>
    <tableColumn id="9" xr3:uid="{41C982DD-18F3-45E7-8762-8814CD257B92}" name="Minutes of meeting2" dataDxfId="100"/>
    <tableColumn id="10" xr3:uid="{B6090D70-B5CE-462E-96D5-92430CC39420}" name="Minutes of meeting3" dataDxfId="99"/>
    <tableColumn id="11" xr3:uid="{5E749DF3-447A-40FE-A1DB-24943B9B95DD}" name="Minutes of meeting4" dataDxfId="98"/>
    <tableColumn id="12" xr3:uid="{EAF551AB-FE38-4C4B-ADDA-09D06BB4D9A9}" name="Minutes of meeting5" dataDxfId="97"/>
    <tableColumn id="13" xr3:uid="{B96867C0-3C3C-4DA8-92C1-29214E02C7C9}" name="Minutes of meeting6" dataDxfId="96"/>
    <tableColumn id="14" xr3:uid="{0D050FF8-B4E5-4E9C-A793-0A0934CE7DDF}" name="Minutes of meeting7" dataDxfId="95"/>
    <tableColumn id="15" xr3:uid="{EB708D58-993F-4E15-B029-759E603CD865}" name="Minutes of meeting8" dataDxfId="94"/>
    <tableColumn id="16" xr3:uid="{94910D10-FAAF-493C-A93F-010A20FD8E5E}" name="follow-up" dataDxfId="93"/>
    <tableColumn id="17" xr3:uid="{8FE7972D-192B-4DB1-97DF-33C086EAD593}" name="their response note " dataDxfId="92"/>
    <tableColumn id="18" xr3:uid="{FC775342-6B72-4BEC-B105-FECF89CB8009}" name="Our Actions" dataDxfId="9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RiskRegister" displayName="tblRiskRegister" ref="A4:N13">
  <tableColumns count="14">
    <tableColumn id="1" xr3:uid="{00000000-0010-0000-0600-000001000000}" name="Risk ID"/>
    <tableColumn id="2" xr3:uid="{00000000-0010-0000-0600-000002000000}" name="Risk"/>
    <tableColumn id="3" xr3:uid="{00000000-0010-0000-0600-000003000000}" name="Linked Stakeholder"/>
    <tableColumn id="4" xr3:uid="{00000000-0010-0000-0600-000004000000}" name="Cause"/>
    <tableColumn id="5" xr3:uid="{00000000-0010-0000-0600-000005000000}" name="Likelihood"/>
    <tableColumn id="6" xr3:uid="{00000000-0010-0000-0600-000006000000}" name="Impact"/>
    <tableColumn id="7" xr3:uid="{00000000-0010-0000-0600-000007000000}" name="Overall Rating"/>
    <tableColumn id="8" xr3:uid="{00000000-0010-0000-0600-000008000000}" name="Early Warning Indicator"/>
    <tableColumn id="9" xr3:uid="{00000000-0010-0000-0600-000009000000}" name="Risk Response"/>
    <tableColumn id="10" xr3:uid="{00000000-0010-0000-0600-00000A000000}" name="Escalation Plan"/>
    <tableColumn id="11" xr3:uid="{00000000-0010-0000-0600-00000B000000}" name="Risk Owner"/>
    <tableColumn id="12" xr3:uid="{00000000-0010-0000-0600-00000C000000}" name="Target Closure"/>
    <tableColumn id="13" xr3:uid="{00000000-0010-0000-0600-00000D000000}" name="Status"/>
    <tableColumn id="14" xr3:uid="{00000000-0010-0000-0600-00000E000000}" name="Source / Rational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BE6726-0EC1-47EC-B001-371BF574C5A5}" name="tblQuestionBank" displayName="tblQuestionBank" ref="A1:J118" totalsRowShown="0" headerRowDxfId="90" dataDxfId="88" headerRowBorderDxfId="89" tableBorderDxfId="87">
  <autoFilter ref="A1:J118" xr:uid="{D5BE6726-0EC1-47EC-B001-371BF574C5A5}"/>
  <tableColumns count="10">
    <tableColumn id="1" xr3:uid="{EFFF3C11-70C2-4A43-866D-22C98F70B83F}" name="Entity / Stakeholder Name" dataDxfId="86"/>
    <tableColumn id="2" xr3:uid="{B7D0FB99-7DD6-44E7-972A-DB2098804D58}" name="S.no" dataDxfId="85"/>
    <tableColumn id="3" xr3:uid="{FC748A50-6728-4B2C-8912-DBD67E2E40B7}" name="Question" dataDxfId="84"/>
    <tableColumn id="4" xr3:uid="{C0086524-14F0-4DE5-AAA2-A27FA1EB5F2F}" name="Responses" dataDxfId="83"/>
    <tableColumn id="5" xr3:uid="{2A9A78E7-BAB9-45E9-873F-BD0EF1881D4A}" name="Date of response" dataDxfId="82"/>
    <tableColumn id="6" xr3:uid="{289AA295-FB4A-43D4-8ECB-767C8032B081}" name="Data Type" dataDxfId="81"/>
    <tableColumn id="7" xr3:uid="{6A345D9A-8C46-4557-96E2-83BD779FFF08}" name="Why It Matters" dataDxfId="80"/>
    <tableColumn id="8" xr3:uid="{35C42730-8D45-4671-A378-401546607670}" name="Required Input" dataDxfId="79"/>
    <tableColumn id="9" xr3:uid="{7DD60F7E-1FC3-42FF-9F50-15642D963BDD}" name="Question Importance Classification: Must-have / Nice-to-have"/>
    <tableColumn id="10" xr3:uid="{128411BD-FF2A-4B1D-95DD-A429C69FEB87}" name="DMO"/>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78150F-0EF9-4C04-9A82-518FA73139A6}" name="tblFollowUpStatus" displayName="tblFollowUpStatus" ref="A4:D17" totalsRowShown="0" headerRowDxfId="78" dataDxfId="77">
  <autoFilter ref="A4:D17" xr:uid="{AB78150F-0EF9-4C04-9A82-518FA73139A6}"/>
  <tableColumns count="4">
    <tableColumn id="1" xr3:uid="{BAA8DE7C-BB2C-49C8-AC45-BB8C1F7E2747}" name="Stakeholder" dataDxfId="76"/>
    <tableColumn id="2" xr3:uid="{1ECEE5EC-4890-4EB1-BD4F-6FDBC17536AE}" name="Latest Update / Current Status" dataDxfId="75"/>
    <tableColumn id="3" xr3:uid="{6A183A95-A52B-4BDF-98DF-46484CDA39C0}" name="Follow-up Status" dataDxfId="74"/>
    <tableColumn id="4" xr3:uid="{BE7CFAEB-B00C-479A-9748-7C9704684525}" name="Next Action" dataDxfId="7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cenarioPlanning" displayName="ScenarioPlanning" ref="A4:G34">
  <tableColumns count="7">
    <tableColumn id="1" xr3:uid="{00000000-0010-0000-0700-000001000000}" name="Stakeholder / Cluster"/>
    <tableColumn id="2" xr3:uid="{00000000-0010-0000-0700-000002000000}" name="Scenario"/>
    <tableColumn id="3" xr3:uid="{00000000-0010-0000-0700-000003000000}" name="Expected Outcome"/>
    <tableColumn id="4" xr3:uid="{00000000-0010-0000-0700-000004000000}" name="Data / Decisions Obtained"/>
    <tableColumn id="5" xr3:uid="{00000000-0010-0000-0700-000005000000}" name="Impact on Stage 4 Programme"/>
    <tableColumn id="6" xr3:uid="{00000000-0010-0000-0700-000006000000}" name="Next Step"/>
    <tableColumn id="7" xr3:uid="{00000000-0010-0000-0700-000007000000}" name="Mitigation / Escalat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ioritizationMatrix" displayName="PrioritizationMatrix" ref="A4:I22">
  <tableColumns count="9">
    <tableColumn id="1" xr3:uid="{00000000-0010-0000-0800-000001000000}" name="Stakeholder / Cluster"/>
    <tableColumn id="2" xr3:uid="{00000000-0010-0000-0800-000002000000}" name="Influence (1-5)"/>
    <tableColumn id="3" xr3:uid="{00000000-0010-0000-0800-000003000000}" name="Interest (1-5)"/>
    <tableColumn id="4" xr3:uid="{00000000-0010-0000-0800-000004000000}" name="Dependency (1-5)"/>
    <tableColumn id="5" xr3:uid="{00000000-0010-0000-0800-000005000000}" name="Decision Sensitivity (1-5)"/>
    <tableColumn id="6" xr3:uid="{00000000-0010-0000-0800-000006000000}" name="Total Score"/>
    <tableColumn id="7" xr3:uid="{00000000-0010-0000-0800-000007000000}" name="Matrix Category"/>
    <tableColumn id="8" xr3:uid="{00000000-0010-0000-0800-000008000000}" name="Engagement Priority"/>
    <tableColumn id="9" xr3:uid="{00000000-0010-0000-0800-000009000000}" name="Rationa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woWeekActionPlan" displayName="TwoWeekActionPlan" ref="A4:I14">
  <tableColumns count="9">
    <tableColumn id="1" xr3:uid="{00000000-0010-0000-0900-000001000000}" name="Action No."/>
    <tableColumn id="2" xr3:uid="{00000000-0010-0000-0900-000002000000}" name="Urgent Action"/>
    <tableColumn id="3" xr3:uid="{00000000-0010-0000-0900-000003000000}" name="Owner"/>
    <tableColumn id="4" xr3:uid="{00000000-0010-0000-0900-000004000000}" name="Target Date"/>
    <tableColumn id="5" xr3:uid="{00000000-0010-0000-0900-000005000000}" name="Linked Stakeholder"/>
    <tableColumn id="6" xr3:uid="{00000000-0010-0000-0900-000006000000}" name="Purpose"/>
    <tableColumn id="7" xr3:uid="{00000000-0010-0000-0900-000007000000}" name="Output"/>
    <tableColumn id="8" xr3:uid="{00000000-0010-0000-0900-000008000000}" name="Status"/>
    <tableColumn id="9" xr3:uid="{00000000-0010-0000-0900-000009000000}" name="Escalation if Delaye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InformationRequired" displayName="InformationRequired" ref="A4:I24">
  <tableColumns count="9">
    <tableColumn id="1" xr3:uid="{00000000-0010-0000-0A00-000001000000}" name="Info ID"/>
    <tableColumn id="2" xr3:uid="{00000000-0010-0000-0A00-000002000000}" name="Information Required"/>
    <tableColumn id="3" xr3:uid="{00000000-0010-0000-0A00-000003000000}" name="Required From"/>
    <tableColumn id="4" xr3:uid="{00000000-0010-0000-0A00-000004000000}" name="Why Needed for Stage 4"/>
    <tableColumn id="5" xr3:uid="{00000000-0010-0000-0A00-000005000000}" name="Linked Deliverable"/>
    <tableColumn id="6" xr3:uid="{00000000-0010-0000-0A00-000006000000}" name="Priority"/>
    <tableColumn id="7" xr3:uid="{00000000-0010-0000-0A00-000007000000}" name="Target Date"/>
    <tableColumn id="8" xr3:uid="{00000000-0010-0000-0A00-000008000000}" name="Status"/>
    <tableColumn id="9" xr3:uid="{00000000-0010-0000-0A00-000009000000}" name="Notes / Assumptio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ourceNotes" displayName="SourceNotes" ref="A4:D14">
  <tableColumns count="4">
    <tableColumn id="1" xr3:uid="{00000000-0010-0000-0B00-000001000000}" name="Source"/>
    <tableColumn id="2" xr3:uid="{00000000-0010-0000-0B00-000002000000}" name="Date"/>
    <tableColumn id="3" xr3:uid="{00000000-0010-0000-0B00-000003000000}" name="Used For"/>
    <tableColumn id="4" xr3:uid="{00000000-0010-0000-0B00-000004000000}" name="Key Extracted Point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ssumptionsTable" displayName="AssumptionsTable" ref="A18:B22">
  <tableColumns count="2">
    <tableColumn id="1" xr3:uid="{00000000-0010-0000-0C00-000001000000}" name="Assumption ID"/>
    <tableColumn id="2" xr3:uid="{00000000-0010-0000-0C00-000002000000}" name="Assump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79D179-A501-46BF-9DB0-BA325BF36FBB}">
  <we:reference id="728f851d-79dd-4e8b-a852-915904674dc1" version="1.1.0.0" store="EXCatalog" storeType="EXCatalog"/>
  <we:alternateReferences>
    <we:reference id="WA200006415" version="1.1.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7.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8" Type="http://schemas.openxmlformats.org/officeDocument/2006/relationships/hyperlink" Target="https://wsponlineare.sharepoint.com/:w:/r/sites/SA-Project-Grant-RCR/_layouts/15/Doc.aspx?sourcedoc=%7B3F7293F7-F397-41A5-B207-4D0D4CF09274%7D&amp;file=260511-55007720-PR-Project%20East%20Grant%20Coordination%20and%20Alignment%20Meeting%20%25u2013%20East%20Riyadh%20Grant%20Project%20%25u2013%20Ministry%20of%20Energy.docx&amp;action=default&amp;mobileredirect=true" TargetMode="External"/><Relationship Id="rId13" Type="http://schemas.openxmlformats.org/officeDocument/2006/relationships/hyperlink" Target="https://wsponlineare.sharepoint.com/sites/SA-Project-Grant-RCR/Shared%20Documents/Forms/AllItems.aspx?id=%2Fsites%2FSA%2DProject%2DGrant%2DRCR%2FShared%20Documents%2F02%2DPM%20Docs%2F02%2D%20MoM%2F02%2DOutgoing%2F00%2E%20Client%20Meetings%2F03%2E%20AMANAH%2F260618%2D55007720%2DPR%2DProject%20East%20Grant%20%2DTechnical%20Meeting%20%E2%80%93%20East%20Riyadh%20Grant%20Project%20%E2%80%93%20Riyadh%20Municipality%20%28General%20Directorate%20of%20Stormwater%20Networks%5Fv2%201%2Epdf&amp;parent=%2Fsites%2FSA%2DProject%2DGrant%2DRCR%2FShared%20Documents%2F02%2DPM%20Docs%2F02%2D%20MoM%2F02%2DOutgoing%2F00%2E%20Client%20Meetings%2F03%2E%20AMANAH" TargetMode="External"/><Relationship Id="rId3" Type="http://schemas.openxmlformats.org/officeDocument/2006/relationships/hyperlink" Target="https://aec-excel.officeapps.live.com/:w:/r/sites/SA-Project-Grant-RCR/Shared%20Documents/02-PM%20Docs/02-%20MoM/02-Outgoing/00.%20Client%20Meetings/05.%20State%20Properties%20General%20Authority%20(SPGA)/260303-55007720-MB-SPGA%20Coordination%20Meeting%20(EN).docx?d=w954ab0d40eba4b239b390cacee6adc9a&amp;csf=1&amp;web=1&amp;e=46vgUf" TargetMode="External"/><Relationship Id="rId7" Type="http://schemas.openxmlformats.org/officeDocument/2006/relationships/hyperlink" Target="https://wsponlineare.sharepoint.com/:b:/r/sites/SA-Project-Grant-RCR/Shared%20Documents/02-PM%20Docs/02-%20MoM/02-Outgoing/00.%20Client%20Meetings/07.%20Imam%20Abdulaziz%20Bin%20Muhammad%20Royal%20Reserve/260504-55007720-PR-Project%20East%20Grant%20Coordination%20,%20alignment%20with%20the%20Imam%20Abdulaziz%20bin%20Muhammad%20Royal%20Reserve%20%E2%80%93%20East%20Riyadh%20Grants%20Project.pdf?csf=1&amp;web=1&amp;e=H3TG02" TargetMode="External"/><Relationship Id="rId12" Type="http://schemas.openxmlformats.org/officeDocument/2006/relationships/hyperlink" Target="https://wsponlineare.sharepoint.com/:w:/r/sites/SA-Project-Grant-RCR/_layouts/15/Doc.aspx?sourcedoc=%7B26526378-0E57-44DF-861B-C3631B2097A9%7D&amp;file=260518-55007720-PR-Project%20East%20Grant%20Coordination%20and%20Alignment%20Meeting%20%25u2013%20East%20Riyadh%20Grants%20Project%20%25u2013%20Wadi%20Al-Sulai.docx&amp;action=default&amp;mobileredirect=true" TargetMode="External"/><Relationship Id="rId17" Type="http://schemas.openxmlformats.org/officeDocument/2006/relationships/table" Target="../tables/table8.xml"/><Relationship Id="rId2" Type="http://schemas.openxmlformats.org/officeDocument/2006/relationships/hyperlink" Target="https://aec-excel.officeapps.live.com/:w:/r/sites/SA-Project-Grant-RCR/Shared%20Documents/02-PM%20Docs/02-%20MoM/02-Outgoing/00.%20Client%20Meetings/04.%20MOJ/260225-55007720-MB-MOJ%20Coordination%20Meeting%20(EN).docx?d=w5dcc8904ef8a4fa990e51a7c67142970&amp;csf=1&amp;web=1&amp;e=jaPVgj" TargetMode="External"/><Relationship Id="rId16" Type="http://schemas.openxmlformats.org/officeDocument/2006/relationships/hyperlink" Target="https://wsponlineare.sharepoint.com/:w:/r/sites/SA-Project-Grant-RCR/_layouts/15/Doc.aspx?sourcedoc=%7BF59CD891-8130-4BF7-B8E8-C6816561469A%7D&amp;file=260512-55007720-PR-Project%20East%20Grant%20Coordination%20and%20Alignment%20Meeting%20%20East%20Riyadh%20Grant%20Project%20%20Riyadh%20Infrastructure%20Projects%20Centre%20(002).docx&amp;fromShare=true&amp;action=default&amp;mobileredirect=true" TargetMode="External"/><Relationship Id="rId1" Type="http://schemas.openxmlformats.org/officeDocument/2006/relationships/hyperlink" Target="https://aec-excel.officeapps.live.com/:w:/r/sites/SA-Project-Grant-RCR/Shared%20Documents/02-PM%20Docs/02-%20MoM/02-Outgoing/00.%20Client%20Meetings/03.%20AMANAH/260216-55007720-PR-%20Amanah%20Stakeholder%20Engagement%20and%20Data%20Validation%20(EN).docx?d=w385edf31370d4d74907d3a2e798f4e34&amp;csf=1&amp;web=1&amp;e=ec9Z19" TargetMode="External"/><Relationship Id="rId6" Type="http://schemas.openxmlformats.org/officeDocument/2006/relationships/hyperlink" Target="https://wsponlineare.sharepoint.com/:b:/r/sites/SA-Project-Grant-RCR/Shared%20Documents/02-PM%20Docs/02-%20MoM/02-Outgoing/00.%20Client%20Meetings/08.%20MEWA/260505-55007720-MB-MEWA-MoM-.pdf?csf=1&amp;web=1&amp;e=HAUrkG" TargetMode="External"/><Relationship Id="rId11" Type="http://schemas.openxmlformats.org/officeDocument/2006/relationships/hyperlink" Target="https://wsponlineare.sharepoint.com/:w:/r/sites/SA-Project-Grant-RCR/_layouts/15/Doc.aspx?sourcedoc=%7B2A2A3704-6610-40DD-8A99-26379BECA73E%7D&amp;file=260514-55007720-PR-Project%20East%20Grant%20Coordination%20and%20Alignment%20Meeting%20-%20Ministry%20of%20Municipalities%20and%20Housing.docx&amp;action=default&amp;mobileredirect=true" TargetMode="External"/><Relationship Id="rId5" Type="http://schemas.openxmlformats.org/officeDocument/2006/relationships/hyperlink" Target="https://wsponlineare.sharepoint.com/:b:/r/sites/SA-Project-Grant-RCR/Shared%20Documents/02-PM%20Docs/02-%20MoM/02-Outgoing/00.%20Client%20Meetings/07.%20Imam%20Abdulaziz%20Bin%20Muhammad%20Royal%20Reserve/260504-55007720-PR-Project%20East%20Grant%20Coordination%20,%20alignment%20with%20the%20Imam%20Abdulaziz%20bin%20Muhammad%20Royal%20Reserve%20%E2%80%93%20East%20Riyadh%20Grants%20Project.pdf?csf=1&amp;web=1&amp;e=H3TG02" TargetMode="External"/><Relationship Id="rId15" Type="http://schemas.openxmlformats.org/officeDocument/2006/relationships/hyperlink" Target="https://wsponlineare.sharepoint.com/:w:/r/sites/SA-Project-Grant-RCR/_layouts/15/Doc.aspx?sourcedoc=%7B0484DC78-02AE-4E22-88D8-42644A1BEDC8%7D&amp;file=260618-55007720-PR-Project%20East%20Grant%20-Technical%20Meeting%20%E2%80%93%20East%20Riyadh%20Grant%20Project%20%E2%80%93%20Riyadh%20Municipality%20(General%20Directorate%20of%20Stormwater%20Networks_v2%201.docx&amp;action=default&amp;mobileredirect=true" TargetMode="External"/><Relationship Id="rId10" Type="http://schemas.openxmlformats.org/officeDocument/2006/relationships/hyperlink" Target="https://wsponlineare.sharepoint.com/:w:/r/sites/SA-Project-Grant-RCR/_layouts/15/Doc.aspx?sourcedoc=%7BC679ADB2-2B7E-46CB-96B2-68AC75FD8BC9%7D&amp;file=260513-55007720-PR-Project%20East%20Grant%20Coordination%20and%20Alignment%20Meeting%20%25u2013%20East%20Riyadh%20Grant%20Project%20%25u2013%20Ministry%20of%20Transport%20and%20Logistics%20Services.docx&amp;action=default&amp;mobileredirect=true" TargetMode="External"/><Relationship Id="rId4" Type="http://schemas.openxmlformats.org/officeDocument/2006/relationships/hyperlink" Target="https://wsponlineare.sharepoint.com/:w:/r/sites/SA-Project-Grant-RCR/Shared%20Documents/02-PM%20Docs/02-%20MoM/02-Outgoing/00.%20Client%20Meetings/06.%20MIM/260225-55007720-MB-MIMCoordination%20Meeting.docx?d=w205fc03470964c928752fdda6cffe0fc&amp;csf=1&amp;web=1&amp;e=VZLZzS" TargetMode="External"/><Relationship Id="rId9" Type="http://schemas.openxmlformats.org/officeDocument/2006/relationships/hyperlink" Target="https://wsponlineare.sharepoint.com/:w:/r/sites/SA-Project-Grant-RCR/_layouts/15/Doc.aspx?sourcedoc=%7B3F7293F7-F397-41A5-B207-4D0D4CF09274%7D&amp;file=260511-55007720-PR-Project%20East%20Grant%20Coordination%20and%20Alignment%20Meeting%20%25u2013%20East%20Riyadh%20Grant%20Project%20%25u2013%20Ministry%20of%20Energy.docx&amp;action=default&amp;mobileredirect=true" TargetMode="External"/><Relationship Id="rId14" Type="http://schemas.openxmlformats.org/officeDocument/2006/relationships/hyperlink" Target="https://wsponlineare.sharepoint.com/:w:/r/sites/SA-Project-Grant-RCR/_layouts/15/Doc.aspx?sourcedoc=%7B3F7293F7-F397-41A5-B207-4D0D4CF09274%7D&amp;file=260511-55007720-PR-Project%20East%20Grant%20Coordination%20and%20Alignment%20Meeting%20%25u2013%20East%20Riyadh%20Grant%20Project%20%25u2013%20Ministry%20of%20Energy.docx&amp;action=default&amp;mobileredirect=tr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0"/>
  <sheetViews>
    <sheetView zoomScaleNormal="100" workbookViewId="0">
      <selection activeCell="B8" sqref="B8"/>
    </sheetView>
  </sheetViews>
  <sheetFormatPr defaultRowHeight="14.25"/>
  <cols>
    <col min="1" max="1" width="32" customWidth="1"/>
    <col min="2" max="2" width="28" customWidth="1"/>
    <col min="3" max="3" width="12.375" customWidth="1"/>
    <col min="10" max="12" width="9" hidden="1" customWidth="1"/>
  </cols>
  <sheetData>
    <row r="1" spans="1:26" ht="27.95" customHeight="1">
      <c r="A1" s="227" t="s">
        <v>0</v>
      </c>
      <c r="B1" s="228"/>
      <c r="C1" s="228"/>
      <c r="D1" s="228"/>
      <c r="E1" s="228"/>
      <c r="F1" s="228"/>
      <c r="G1" s="228"/>
      <c r="H1" s="228"/>
      <c r="I1" s="228"/>
      <c r="J1" s="228"/>
      <c r="K1" s="228"/>
      <c r="L1" s="228"/>
      <c r="M1" s="1"/>
      <c r="N1" s="1"/>
      <c r="O1" s="1"/>
      <c r="P1" s="1"/>
      <c r="Q1" s="1"/>
      <c r="R1" s="1"/>
      <c r="S1" s="1"/>
      <c r="T1" s="1"/>
      <c r="U1" s="1"/>
      <c r="V1" s="1"/>
      <c r="W1" s="1"/>
      <c r="X1" s="1"/>
      <c r="Y1" s="1"/>
      <c r="Z1" s="1"/>
    </row>
    <row r="2" spans="1:26">
      <c r="A2" s="229"/>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1</v>
      </c>
      <c r="B4" s="2" t="s">
        <v>2</v>
      </c>
      <c r="C4" s="1"/>
      <c r="D4" s="1"/>
      <c r="E4" s="1"/>
      <c r="F4" s="1"/>
      <c r="G4" s="1"/>
      <c r="H4" s="1"/>
      <c r="I4" s="1"/>
      <c r="J4" s="1"/>
      <c r="K4" s="1"/>
      <c r="L4" s="1"/>
      <c r="M4" s="1"/>
      <c r="N4" s="1"/>
      <c r="O4" s="1"/>
      <c r="P4" s="1"/>
      <c r="Q4" s="1"/>
      <c r="R4" s="1"/>
      <c r="S4" s="1"/>
      <c r="T4" s="1"/>
      <c r="U4" s="1"/>
      <c r="V4" s="1"/>
      <c r="W4" s="1"/>
      <c r="X4" s="1"/>
      <c r="Y4" s="1"/>
      <c r="Z4" s="1"/>
    </row>
    <row r="5" spans="1:26" ht="84" customHeight="1">
      <c r="A5" s="3" t="s">
        <v>3</v>
      </c>
      <c r="B5" s="5" t="s">
        <v>4</v>
      </c>
      <c r="C5" s="1"/>
      <c r="D5" s="1"/>
      <c r="E5" s="1"/>
      <c r="F5" s="1"/>
      <c r="G5" s="1"/>
      <c r="H5" s="1"/>
      <c r="I5" s="1"/>
      <c r="J5" s="1"/>
      <c r="K5" s="1"/>
      <c r="L5" s="1"/>
      <c r="M5" s="1"/>
      <c r="N5" s="1"/>
      <c r="O5" s="1"/>
      <c r="P5" s="1"/>
      <c r="Q5" s="1"/>
      <c r="R5" s="1"/>
      <c r="S5" s="1"/>
      <c r="T5" s="1"/>
      <c r="U5" s="1"/>
      <c r="V5" s="1"/>
      <c r="W5" s="1"/>
      <c r="X5" s="1"/>
      <c r="Y5" s="1"/>
      <c r="Z5" s="1"/>
    </row>
    <row r="6" spans="1:26" ht="74.099999999999994" customHeight="1">
      <c r="A6" s="3" t="s">
        <v>5</v>
      </c>
      <c r="B6" s="5" t="s">
        <v>6</v>
      </c>
      <c r="C6" s="1"/>
      <c r="D6" s="1"/>
      <c r="E6" s="1"/>
      <c r="F6" s="1"/>
      <c r="G6" s="1"/>
      <c r="H6" s="1"/>
      <c r="I6" s="1"/>
      <c r="J6" s="1"/>
      <c r="K6" s="1"/>
      <c r="L6" s="1"/>
      <c r="M6" s="1"/>
      <c r="N6" s="1"/>
      <c r="O6" s="1"/>
      <c r="P6" s="1"/>
      <c r="Q6" s="1"/>
      <c r="R6" s="1"/>
      <c r="S6" s="1"/>
      <c r="T6" s="1"/>
      <c r="U6" s="1"/>
      <c r="V6" s="1"/>
      <c r="W6" s="1"/>
      <c r="X6" s="1"/>
      <c r="Y6" s="1"/>
      <c r="Z6" s="1"/>
    </row>
    <row r="7" spans="1:26" ht="71.45" customHeight="1">
      <c r="A7" s="3" t="s">
        <v>7</v>
      </c>
      <c r="B7" s="5" t="s">
        <v>8</v>
      </c>
      <c r="C7" s="1"/>
      <c r="D7" s="1"/>
      <c r="E7" s="1"/>
      <c r="F7" s="1"/>
      <c r="G7" s="1"/>
      <c r="H7" s="1"/>
      <c r="I7" s="1"/>
      <c r="J7" s="1"/>
      <c r="K7" s="1"/>
      <c r="L7" s="1"/>
      <c r="M7" s="1"/>
      <c r="N7" s="1"/>
      <c r="O7" s="1"/>
      <c r="P7" s="1"/>
      <c r="Q7" s="1"/>
      <c r="R7" s="1"/>
      <c r="S7" s="1"/>
      <c r="T7" s="1"/>
      <c r="U7" s="1"/>
      <c r="V7" s="1"/>
      <c r="W7" s="1"/>
      <c r="X7" s="1"/>
      <c r="Y7" s="1"/>
      <c r="Z7" s="1"/>
    </row>
    <row r="8" spans="1:26" ht="54" customHeight="1">
      <c r="A8" s="3" t="s">
        <v>9</v>
      </c>
      <c r="B8" s="5" t="s">
        <v>10</v>
      </c>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30" customHeight="1">
      <c r="A11" s="6" t="s">
        <v>11</v>
      </c>
      <c r="B11" s="2" t="s">
        <v>12</v>
      </c>
      <c r="C11" s="1"/>
      <c r="D11" s="1"/>
      <c r="E11" s="1"/>
      <c r="F11" s="1"/>
      <c r="G11" s="1"/>
      <c r="H11" s="1"/>
      <c r="I11" s="1"/>
      <c r="J11" s="1"/>
      <c r="K11" s="1"/>
      <c r="L11" s="1"/>
      <c r="M11" s="1"/>
      <c r="N11" s="1"/>
      <c r="O11" s="1"/>
      <c r="P11" s="1"/>
      <c r="Q11" s="1"/>
      <c r="R11" s="1"/>
      <c r="S11" s="1"/>
      <c r="T11" s="1"/>
      <c r="U11" s="1"/>
      <c r="V11" s="1"/>
      <c r="W11" s="1"/>
      <c r="X11" s="1"/>
      <c r="Y11" s="1"/>
      <c r="Z11" s="1"/>
    </row>
    <row r="12" spans="1:26" ht="30" customHeight="1">
      <c r="A12" s="3" t="s">
        <v>13</v>
      </c>
      <c r="B12" s="3">
        <f>COUNTA('02_Engagement Strategy'!B5:B196)</f>
        <v>15</v>
      </c>
      <c r="C12" s="1"/>
      <c r="D12" s="1"/>
      <c r="E12" s="1"/>
      <c r="F12" s="1"/>
      <c r="G12" s="1"/>
      <c r="H12" s="1"/>
      <c r="I12" s="1"/>
      <c r="J12" s="1"/>
      <c r="K12" s="1"/>
      <c r="L12" s="1"/>
      <c r="M12" s="1"/>
      <c r="N12" s="1"/>
      <c r="O12" s="1"/>
      <c r="P12" s="1"/>
      <c r="Q12" s="1"/>
      <c r="R12" s="1"/>
      <c r="S12" s="1"/>
      <c r="T12" s="1"/>
      <c r="U12" s="1"/>
      <c r="V12" s="1"/>
      <c r="W12" s="1"/>
      <c r="X12" s="1"/>
      <c r="Y12" s="1"/>
      <c r="Z12" s="1"/>
    </row>
    <row r="13" spans="1:26" ht="30" customHeight="1">
      <c r="A13" s="3" t="s">
        <v>14</v>
      </c>
      <c r="B13" s="3">
        <v>10</v>
      </c>
      <c r="C13" s="1"/>
      <c r="D13" s="1"/>
      <c r="E13" s="1"/>
      <c r="F13" s="1"/>
      <c r="G13" s="1"/>
      <c r="H13" s="1"/>
      <c r="I13" s="1"/>
      <c r="J13" s="1"/>
      <c r="K13" s="1"/>
      <c r="L13" s="1"/>
      <c r="M13" s="1"/>
      <c r="N13" s="1"/>
      <c r="O13" s="1"/>
      <c r="P13" s="1"/>
      <c r="Q13" s="1"/>
      <c r="R13" s="1"/>
      <c r="S13" s="1"/>
      <c r="T13" s="1"/>
      <c r="U13" s="1"/>
      <c r="V13" s="1"/>
      <c r="W13" s="1"/>
      <c r="X13" s="1"/>
      <c r="Y13" s="1"/>
      <c r="Z13" s="1"/>
    </row>
    <row r="14" spans="1:26" ht="30" customHeight="1">
      <c r="A14" s="3" t="s">
        <v>15</v>
      </c>
      <c r="B14" s="3">
        <v>4</v>
      </c>
      <c r="C14" s="1"/>
      <c r="D14" s="1"/>
      <c r="E14" s="1"/>
      <c r="F14" s="1"/>
      <c r="G14" s="1"/>
      <c r="H14" s="1"/>
      <c r="I14" s="1"/>
      <c r="J14" s="1"/>
      <c r="K14" s="1"/>
      <c r="L14" s="1"/>
      <c r="M14" s="1"/>
      <c r="N14" s="1"/>
      <c r="O14" s="1"/>
      <c r="P14" s="1"/>
      <c r="Q14" s="1"/>
      <c r="R14" s="1"/>
      <c r="S14" s="1"/>
      <c r="T14" s="1"/>
      <c r="U14" s="1"/>
      <c r="V14" s="1"/>
      <c r="W14" s="1"/>
      <c r="X14" s="1"/>
      <c r="Y14" s="1"/>
      <c r="Z14" s="1"/>
    </row>
    <row r="15" spans="1:26" ht="30" customHeight="1">
      <c r="A15" s="53" t="s">
        <v>16</v>
      </c>
      <c r="B15" s="53">
        <v>14</v>
      </c>
      <c r="C15" s="1"/>
      <c r="D15" s="1"/>
      <c r="E15" s="1"/>
      <c r="F15" s="1"/>
      <c r="G15" s="1"/>
      <c r="H15" s="1"/>
      <c r="I15" s="1"/>
      <c r="J15" s="1"/>
      <c r="K15" s="1"/>
      <c r="L15" s="1"/>
      <c r="M15" s="1"/>
      <c r="N15" s="1"/>
      <c r="O15" s="1"/>
      <c r="P15" s="1"/>
      <c r="Q15" s="1"/>
      <c r="R15" s="1"/>
      <c r="S15" s="1"/>
      <c r="T15" s="1"/>
      <c r="U15" s="1"/>
      <c r="V15" s="1"/>
      <c r="W15" s="1"/>
      <c r="X15" s="1"/>
      <c r="Y15" s="1"/>
      <c r="Z15" s="1"/>
    </row>
    <row r="16" spans="1:26" ht="30" customHeight="1">
      <c r="A16" s="3" t="s">
        <v>17</v>
      </c>
      <c r="B16" s="53">
        <v>30</v>
      </c>
      <c r="C16" s="1"/>
      <c r="D16" s="1"/>
      <c r="E16" s="1"/>
      <c r="F16" s="1"/>
      <c r="G16" s="1"/>
      <c r="H16" s="1"/>
      <c r="I16" s="1"/>
      <c r="J16" s="1"/>
      <c r="K16" s="1"/>
      <c r="L16" s="1"/>
      <c r="M16" s="1"/>
      <c r="N16" s="1"/>
      <c r="O16" s="1"/>
      <c r="P16" s="1"/>
      <c r="Q16" s="1"/>
      <c r="R16" s="1"/>
      <c r="S16" s="1"/>
      <c r="T16" s="1"/>
      <c r="U16" s="1"/>
      <c r="V16" s="1"/>
      <c r="W16" s="1"/>
      <c r="X16" s="1"/>
      <c r="Y16" s="1"/>
      <c r="Z16" s="1"/>
    </row>
    <row r="17" spans="1:26" ht="19.5" customHeight="1">
      <c r="A17" s="5" t="s">
        <v>18</v>
      </c>
      <c r="B17" s="3">
        <f>COUNTIF('05_Risk Register'!G:G,"Critical")</f>
        <v>3</v>
      </c>
      <c r="C17" s="1"/>
      <c r="D17" s="1"/>
      <c r="E17" s="1"/>
      <c r="F17" s="1"/>
      <c r="G17" s="1"/>
      <c r="H17" s="1"/>
      <c r="I17" s="1"/>
      <c r="J17" s="1"/>
      <c r="K17" s="1"/>
      <c r="L17" s="1"/>
      <c r="M17" s="1"/>
      <c r="N17" s="1"/>
      <c r="O17" s="1"/>
      <c r="P17" s="1"/>
      <c r="Q17" s="1"/>
      <c r="R17" s="1"/>
      <c r="S17" s="1"/>
      <c r="T17" s="1"/>
      <c r="U17" s="1"/>
      <c r="V17" s="1"/>
      <c r="W17" s="1"/>
      <c r="X17" s="1"/>
      <c r="Y17" s="1"/>
      <c r="Z17" s="1"/>
    </row>
    <row r="18" spans="1:26">
      <c r="A18" s="5" t="s">
        <v>19</v>
      </c>
      <c r="B18" s="1">
        <v>82</v>
      </c>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96"/>
  <sheetViews>
    <sheetView topLeftCell="D9" zoomScale="85" zoomScaleNormal="85" workbookViewId="0">
      <selection activeCell="O19" sqref="O19"/>
    </sheetView>
  </sheetViews>
  <sheetFormatPr defaultRowHeight="14.25"/>
  <cols>
    <col min="1" max="1" width="8" customWidth="1"/>
    <col min="2" max="2" width="28" customWidth="1"/>
    <col min="3" max="3" width="38" customWidth="1"/>
    <col min="4" max="4" width="24" customWidth="1"/>
    <col min="5" max="5" width="40" customWidth="1"/>
    <col min="6" max="7" width="12" customWidth="1"/>
    <col min="8" max="8" width="12" hidden="1" customWidth="1"/>
    <col min="9" max="9" width="42" style="17" hidden="1" customWidth="1"/>
    <col min="10" max="10" width="50" style="17" hidden="1" customWidth="1"/>
    <col min="11" max="11" width="25" hidden="1" customWidth="1"/>
    <col min="12" max="12" width="24" hidden="1" customWidth="1"/>
    <col min="13" max="13" width="18" customWidth="1"/>
    <col min="14" max="14" width="24" hidden="1" customWidth="1"/>
    <col min="15" max="15" width="38" customWidth="1"/>
    <col min="16" max="16" width="34" hidden="1" customWidth="1"/>
    <col min="17" max="17" width="20" hidden="1" customWidth="1"/>
    <col min="18" max="18" width="34" hidden="1" customWidth="1"/>
  </cols>
  <sheetData>
    <row r="1" spans="1:26" ht="27.95" customHeight="1">
      <c r="A1" s="228" t="s">
        <v>20</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30" t="s">
        <v>21</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5"/>
      <c r="J3" s="15"/>
      <c r="K3" s="1"/>
      <c r="L3" s="1"/>
      <c r="M3" s="1"/>
      <c r="N3" s="1"/>
      <c r="O3" s="1"/>
      <c r="P3" s="1"/>
      <c r="Q3" s="1"/>
      <c r="R3" s="1"/>
      <c r="S3" s="1"/>
      <c r="T3" s="1"/>
      <c r="U3" s="1"/>
      <c r="V3" s="1"/>
      <c r="W3" s="1"/>
      <c r="X3" s="1"/>
      <c r="Y3" s="1"/>
      <c r="Z3" s="1"/>
    </row>
    <row r="4" spans="1:26" ht="30" customHeight="1">
      <c r="A4" s="2" t="s">
        <v>22</v>
      </c>
      <c r="B4" s="2" t="s">
        <v>23</v>
      </c>
      <c r="C4" s="2" t="s">
        <v>24</v>
      </c>
      <c r="D4" s="55" t="s">
        <v>25</v>
      </c>
      <c r="E4" s="56" t="s">
        <v>26</v>
      </c>
      <c r="F4" s="2" t="s">
        <v>27</v>
      </c>
      <c r="G4" s="2" t="s">
        <v>28</v>
      </c>
      <c r="H4" s="2" t="s">
        <v>29</v>
      </c>
      <c r="I4" s="54" t="s">
        <v>30</v>
      </c>
      <c r="J4" s="54" t="s">
        <v>31</v>
      </c>
      <c r="K4" s="2" t="s">
        <v>32</v>
      </c>
      <c r="L4" s="2" t="s">
        <v>33</v>
      </c>
      <c r="M4" s="2" t="s">
        <v>34</v>
      </c>
      <c r="N4" s="2" t="s">
        <v>35</v>
      </c>
      <c r="O4" s="2" t="s">
        <v>36</v>
      </c>
      <c r="P4" s="2" t="s">
        <v>37</v>
      </c>
      <c r="Q4" s="2" t="s">
        <v>38</v>
      </c>
      <c r="R4" s="2" t="s">
        <v>39</v>
      </c>
      <c r="S4" s="1"/>
      <c r="T4" s="1"/>
      <c r="U4" s="1"/>
      <c r="V4" s="1"/>
      <c r="W4" s="1"/>
      <c r="X4" s="1"/>
      <c r="Y4" s="1"/>
      <c r="Z4" s="1"/>
    </row>
    <row r="5" spans="1:26" ht="46.5" customHeight="1">
      <c r="A5" s="3">
        <v>1</v>
      </c>
      <c r="B5" s="3" t="s">
        <v>40</v>
      </c>
      <c r="C5" s="3" t="s">
        <v>41</v>
      </c>
      <c r="D5" s="3" t="s">
        <v>42</v>
      </c>
      <c r="E5" s="3" t="s">
        <v>43</v>
      </c>
      <c r="F5" s="3" t="s">
        <v>44</v>
      </c>
      <c r="G5" s="3" t="s">
        <v>44</v>
      </c>
      <c r="H5" s="3" t="s">
        <v>45</v>
      </c>
      <c r="I5" s="16" t="s">
        <v>46</v>
      </c>
      <c r="J5" s="16" t="s">
        <v>47</v>
      </c>
      <c r="K5" s="3" t="s">
        <v>48</v>
      </c>
      <c r="L5" s="3" t="s">
        <v>49</v>
      </c>
      <c r="M5" s="3" t="s">
        <v>50</v>
      </c>
      <c r="N5" s="3" t="s">
        <v>51</v>
      </c>
      <c r="O5" s="3" t="s">
        <v>52</v>
      </c>
      <c r="P5" s="3" t="s">
        <v>53</v>
      </c>
      <c r="Q5" s="3" t="s">
        <v>54</v>
      </c>
      <c r="R5" s="3" t="s">
        <v>55</v>
      </c>
      <c r="S5" s="1"/>
      <c r="T5" s="1"/>
      <c r="U5" s="1"/>
      <c r="V5" s="1"/>
      <c r="W5" s="1"/>
      <c r="X5" s="1"/>
      <c r="Y5" s="1"/>
      <c r="Z5" s="1"/>
    </row>
    <row r="6" spans="1:26" ht="57" customHeight="1">
      <c r="A6" s="3">
        <v>2</v>
      </c>
      <c r="B6" s="3" t="s">
        <v>56</v>
      </c>
      <c r="C6" s="3" t="s">
        <v>57</v>
      </c>
      <c r="D6" s="3" t="s">
        <v>58</v>
      </c>
      <c r="E6" s="3" t="s">
        <v>59</v>
      </c>
      <c r="F6" s="3" t="s">
        <v>44</v>
      </c>
      <c r="G6" s="3" t="s">
        <v>44</v>
      </c>
      <c r="H6" s="3" t="s">
        <v>45</v>
      </c>
      <c r="I6" s="16" t="s">
        <v>60</v>
      </c>
      <c r="J6" s="16" t="s">
        <v>61</v>
      </c>
      <c r="K6" s="3" t="s">
        <v>62</v>
      </c>
      <c r="L6" s="3" t="s">
        <v>63</v>
      </c>
      <c r="M6" s="3" t="s">
        <v>64</v>
      </c>
      <c r="N6" s="3" t="s">
        <v>65</v>
      </c>
      <c r="O6" s="3" t="s">
        <v>66</v>
      </c>
      <c r="P6" s="3" t="s">
        <v>67</v>
      </c>
      <c r="Q6" s="3" t="s">
        <v>68</v>
      </c>
      <c r="R6" s="3" t="s">
        <v>69</v>
      </c>
      <c r="S6" s="1"/>
      <c r="T6" s="1"/>
      <c r="U6" s="1"/>
      <c r="V6" s="1"/>
      <c r="W6" s="1"/>
      <c r="X6" s="1"/>
      <c r="Y6" s="1"/>
      <c r="Z6" s="1"/>
    </row>
    <row r="7" spans="1:26" ht="77.099999999999994" customHeight="1">
      <c r="A7" s="3">
        <v>3</v>
      </c>
      <c r="B7" s="3" t="s">
        <v>70</v>
      </c>
      <c r="C7" s="3" t="s">
        <v>71</v>
      </c>
      <c r="D7" s="3" t="s">
        <v>72</v>
      </c>
      <c r="E7" s="3" t="s">
        <v>73</v>
      </c>
      <c r="F7" s="3" t="s">
        <v>44</v>
      </c>
      <c r="G7" s="3" t="s">
        <v>44</v>
      </c>
      <c r="H7" s="3" t="s">
        <v>45</v>
      </c>
      <c r="I7" s="16" t="s">
        <v>74</v>
      </c>
      <c r="J7" s="16" t="s">
        <v>75</v>
      </c>
      <c r="K7" s="3" t="s">
        <v>76</v>
      </c>
      <c r="L7" s="3" t="s">
        <v>77</v>
      </c>
      <c r="M7" s="3" t="s">
        <v>78</v>
      </c>
      <c r="N7" s="3" t="s">
        <v>79</v>
      </c>
      <c r="O7" s="3" t="s">
        <v>80</v>
      </c>
      <c r="P7" s="3" t="s">
        <v>81</v>
      </c>
      <c r="Q7" s="3" t="s">
        <v>54</v>
      </c>
      <c r="R7" s="3" t="s">
        <v>82</v>
      </c>
      <c r="S7" s="1"/>
      <c r="T7" s="1"/>
      <c r="U7" s="1"/>
      <c r="V7" s="1"/>
      <c r="W7" s="1"/>
      <c r="X7" s="1"/>
      <c r="Y7" s="1"/>
      <c r="Z7" s="1"/>
    </row>
    <row r="8" spans="1:26" ht="48" customHeight="1">
      <c r="A8" s="3">
        <v>4</v>
      </c>
      <c r="B8" s="53" t="s">
        <v>83</v>
      </c>
      <c r="C8" s="5" t="s">
        <v>84</v>
      </c>
      <c r="D8" s="5" t="s">
        <v>85</v>
      </c>
      <c r="E8" s="5" t="s">
        <v>86</v>
      </c>
      <c r="F8" s="3" t="s">
        <v>44</v>
      </c>
      <c r="G8" s="3" t="s">
        <v>44</v>
      </c>
      <c r="H8" s="3" t="s">
        <v>45</v>
      </c>
      <c r="I8" s="16" t="s">
        <v>87</v>
      </c>
      <c r="J8" s="16" t="s">
        <v>88</v>
      </c>
      <c r="K8" s="3" t="s">
        <v>89</v>
      </c>
      <c r="L8" s="3" t="s">
        <v>90</v>
      </c>
      <c r="M8" s="3" t="s">
        <v>91</v>
      </c>
      <c r="N8" s="3" t="s">
        <v>92</v>
      </c>
      <c r="O8" s="3" t="s">
        <v>93</v>
      </c>
      <c r="P8" s="3" t="s">
        <v>94</v>
      </c>
      <c r="Q8" s="3" t="s">
        <v>95</v>
      </c>
      <c r="R8" s="3" t="s">
        <v>96</v>
      </c>
      <c r="S8" s="1"/>
      <c r="T8" s="1"/>
      <c r="U8" s="1"/>
      <c r="V8" s="1"/>
      <c r="W8" s="1"/>
      <c r="X8" s="1"/>
      <c r="Y8" s="1"/>
      <c r="Z8" s="1"/>
    </row>
    <row r="9" spans="1:26" ht="47.1" customHeight="1">
      <c r="A9" s="3">
        <v>5</v>
      </c>
      <c r="B9" s="5" t="s">
        <v>97</v>
      </c>
      <c r="C9" s="3" t="s">
        <v>98</v>
      </c>
      <c r="D9" s="3" t="s">
        <v>99</v>
      </c>
      <c r="E9" s="3" t="s">
        <v>100</v>
      </c>
      <c r="F9" s="3" t="s">
        <v>44</v>
      </c>
      <c r="G9" s="3" t="s">
        <v>101</v>
      </c>
      <c r="H9" s="3" t="s">
        <v>44</v>
      </c>
      <c r="I9" s="16" t="s">
        <v>102</v>
      </c>
      <c r="J9" s="16" t="s">
        <v>103</v>
      </c>
      <c r="K9" s="3" t="s">
        <v>104</v>
      </c>
      <c r="L9" s="3" t="s">
        <v>105</v>
      </c>
      <c r="M9" s="3" t="s">
        <v>106</v>
      </c>
      <c r="N9" s="3" t="s">
        <v>107</v>
      </c>
      <c r="O9" s="3" t="s">
        <v>108</v>
      </c>
      <c r="P9" s="3" t="s">
        <v>109</v>
      </c>
      <c r="Q9" s="3" t="s">
        <v>68</v>
      </c>
      <c r="R9" s="3" t="s">
        <v>110</v>
      </c>
      <c r="S9" s="1"/>
      <c r="T9" s="1"/>
      <c r="U9" s="1"/>
      <c r="V9" s="1"/>
      <c r="W9" s="1"/>
      <c r="X9" s="1"/>
      <c r="Y9" s="1"/>
      <c r="Z9" s="1"/>
    </row>
    <row r="10" spans="1:26" ht="51" customHeight="1">
      <c r="A10" s="3">
        <v>6</v>
      </c>
      <c r="B10" s="5" t="s">
        <v>111</v>
      </c>
      <c r="C10" s="5" t="s">
        <v>112</v>
      </c>
      <c r="D10" s="3" t="s">
        <v>113</v>
      </c>
      <c r="E10" s="3" t="s">
        <v>114</v>
      </c>
      <c r="F10" s="5" t="s">
        <v>44</v>
      </c>
      <c r="G10" s="3" t="s">
        <v>44</v>
      </c>
      <c r="H10" s="3" t="s">
        <v>44</v>
      </c>
      <c r="I10" s="16" t="s">
        <v>115</v>
      </c>
      <c r="J10" s="16" t="s">
        <v>116</v>
      </c>
      <c r="K10" s="3" t="s">
        <v>117</v>
      </c>
      <c r="L10" s="3" t="s">
        <v>105</v>
      </c>
      <c r="M10" s="3" t="s">
        <v>118</v>
      </c>
      <c r="N10" s="3" t="s">
        <v>119</v>
      </c>
      <c r="O10" s="3" t="s">
        <v>120</v>
      </c>
      <c r="P10" s="3" t="s">
        <v>121</v>
      </c>
      <c r="Q10" s="3" t="s">
        <v>95</v>
      </c>
      <c r="R10" s="3" t="s">
        <v>122</v>
      </c>
      <c r="S10" s="1"/>
      <c r="T10" s="1"/>
      <c r="U10" s="1"/>
      <c r="V10" s="1"/>
      <c r="W10" s="1"/>
      <c r="X10" s="1"/>
      <c r="Y10" s="1"/>
      <c r="Z10" s="1"/>
    </row>
    <row r="11" spans="1:26" ht="53.45" customHeight="1">
      <c r="A11" s="3">
        <v>7</v>
      </c>
      <c r="B11" s="3" t="s">
        <v>123</v>
      </c>
      <c r="C11" s="3" t="s">
        <v>124</v>
      </c>
      <c r="D11" s="3" t="s">
        <v>125</v>
      </c>
      <c r="E11" s="3" t="s">
        <v>126</v>
      </c>
      <c r="F11" s="3" t="s">
        <v>44</v>
      </c>
      <c r="G11" s="3" t="s">
        <v>101</v>
      </c>
      <c r="H11" s="3" t="s">
        <v>44</v>
      </c>
      <c r="I11" s="16" t="s">
        <v>127</v>
      </c>
      <c r="J11" s="16" t="s">
        <v>128</v>
      </c>
      <c r="K11" s="3" t="s">
        <v>129</v>
      </c>
      <c r="L11" s="3" t="s">
        <v>130</v>
      </c>
      <c r="M11" s="3" t="s">
        <v>131</v>
      </c>
      <c r="N11" s="3" t="s">
        <v>132</v>
      </c>
      <c r="O11" s="3" t="s">
        <v>133</v>
      </c>
      <c r="P11" s="3" t="s">
        <v>134</v>
      </c>
      <c r="Q11" s="3" t="s">
        <v>95</v>
      </c>
      <c r="R11" s="3" t="s">
        <v>135</v>
      </c>
      <c r="S11" s="1"/>
      <c r="T11" s="1"/>
      <c r="U11" s="1"/>
      <c r="V11" s="1"/>
      <c r="W11" s="1"/>
      <c r="X11" s="1"/>
      <c r="Y11" s="1"/>
      <c r="Z11" s="1"/>
    </row>
    <row r="12" spans="1:26" ht="39.75" customHeight="1">
      <c r="A12" s="3">
        <v>8</v>
      </c>
      <c r="B12" s="3" t="s">
        <v>136</v>
      </c>
      <c r="C12" s="3" t="s">
        <v>137</v>
      </c>
      <c r="D12" s="3" t="s">
        <v>138</v>
      </c>
      <c r="E12" s="3" t="s">
        <v>139</v>
      </c>
      <c r="F12" s="3" t="s">
        <v>44</v>
      </c>
      <c r="G12" s="5" t="s">
        <v>44</v>
      </c>
      <c r="H12" s="3" t="s">
        <v>45</v>
      </c>
      <c r="I12" s="16" t="s">
        <v>140</v>
      </c>
      <c r="J12" s="16" t="s">
        <v>141</v>
      </c>
      <c r="K12" s="3" t="s">
        <v>142</v>
      </c>
      <c r="L12" s="3" t="s">
        <v>63</v>
      </c>
      <c r="M12" s="3" t="s">
        <v>143</v>
      </c>
      <c r="N12" s="3" t="s">
        <v>144</v>
      </c>
      <c r="O12" s="3" t="s">
        <v>145</v>
      </c>
      <c r="P12" s="3" t="s">
        <v>146</v>
      </c>
      <c r="Q12" s="3" t="s">
        <v>95</v>
      </c>
      <c r="R12" s="3" t="s">
        <v>147</v>
      </c>
      <c r="S12" s="1"/>
      <c r="T12" s="1"/>
      <c r="U12" s="1"/>
      <c r="V12" s="1"/>
      <c r="W12" s="1"/>
      <c r="X12" s="1"/>
      <c r="Y12" s="1"/>
      <c r="Z12" s="1"/>
    </row>
    <row r="13" spans="1:26" ht="59.45" customHeight="1">
      <c r="A13" s="3">
        <v>9</v>
      </c>
      <c r="B13" s="3" t="s">
        <v>148</v>
      </c>
      <c r="C13" s="3" t="s">
        <v>149</v>
      </c>
      <c r="D13" s="3" t="s">
        <v>150</v>
      </c>
      <c r="E13" s="3" t="s">
        <v>151</v>
      </c>
      <c r="F13" s="3" t="s">
        <v>44</v>
      </c>
      <c r="G13" s="3" t="s">
        <v>101</v>
      </c>
      <c r="H13" s="3" t="s">
        <v>44</v>
      </c>
      <c r="I13" s="16" t="s">
        <v>152</v>
      </c>
      <c r="J13" s="16" t="s">
        <v>153</v>
      </c>
      <c r="K13" s="3" t="s">
        <v>154</v>
      </c>
      <c r="L13" s="3" t="s">
        <v>155</v>
      </c>
      <c r="M13" s="3" t="s">
        <v>156</v>
      </c>
      <c r="N13" s="3" t="s">
        <v>157</v>
      </c>
      <c r="O13" s="3" t="s">
        <v>158</v>
      </c>
      <c r="P13" s="3" t="s">
        <v>159</v>
      </c>
      <c r="Q13" s="3" t="s">
        <v>160</v>
      </c>
      <c r="R13" s="3" t="s">
        <v>161</v>
      </c>
      <c r="S13" s="1"/>
      <c r="T13" s="1"/>
      <c r="U13" s="1"/>
      <c r="V13" s="1"/>
      <c r="W13" s="1"/>
      <c r="X13" s="1"/>
      <c r="Y13" s="1"/>
      <c r="Z13" s="1"/>
    </row>
    <row r="14" spans="1:26" ht="51" customHeight="1">
      <c r="A14" s="3">
        <v>10</v>
      </c>
      <c r="B14" s="3" t="s">
        <v>162</v>
      </c>
      <c r="C14" s="3" t="s">
        <v>163</v>
      </c>
      <c r="D14" s="3" t="s">
        <v>164</v>
      </c>
      <c r="E14" s="3" t="s">
        <v>165</v>
      </c>
      <c r="F14" s="3" t="s">
        <v>44</v>
      </c>
      <c r="G14" s="3" t="s">
        <v>101</v>
      </c>
      <c r="H14" s="3" t="s">
        <v>44</v>
      </c>
      <c r="I14" s="16" t="s">
        <v>166</v>
      </c>
      <c r="J14" s="16" t="s">
        <v>167</v>
      </c>
      <c r="K14" s="3" t="s">
        <v>168</v>
      </c>
      <c r="L14" s="3" t="s">
        <v>169</v>
      </c>
      <c r="M14" s="3" t="s">
        <v>170</v>
      </c>
      <c r="N14" s="3" t="s">
        <v>171</v>
      </c>
      <c r="O14" s="3" t="s">
        <v>172</v>
      </c>
      <c r="P14" s="3" t="s">
        <v>173</v>
      </c>
      <c r="Q14" s="3" t="s">
        <v>68</v>
      </c>
      <c r="R14" s="3" t="s">
        <v>174</v>
      </c>
      <c r="S14" s="1"/>
      <c r="T14" s="1"/>
      <c r="U14" s="1"/>
      <c r="V14" s="1"/>
      <c r="W14" s="1"/>
      <c r="X14" s="1"/>
      <c r="Y14" s="1"/>
      <c r="Z14" s="1"/>
    </row>
    <row r="15" spans="1:26" ht="51.75" customHeight="1">
      <c r="A15" s="3">
        <v>11</v>
      </c>
      <c r="B15" s="3" t="s">
        <v>175</v>
      </c>
      <c r="C15" s="3" t="s">
        <v>176</v>
      </c>
      <c r="D15" s="3" t="s">
        <v>177</v>
      </c>
      <c r="E15" s="3" t="s">
        <v>178</v>
      </c>
      <c r="F15" s="3" t="s">
        <v>44</v>
      </c>
      <c r="G15" s="3" t="s">
        <v>101</v>
      </c>
      <c r="H15" s="3" t="s">
        <v>44</v>
      </c>
      <c r="I15" s="16" t="s">
        <v>179</v>
      </c>
      <c r="J15" s="16" t="s">
        <v>180</v>
      </c>
      <c r="K15" s="3" t="s">
        <v>181</v>
      </c>
      <c r="L15" s="3" t="s">
        <v>182</v>
      </c>
      <c r="M15" s="3" t="s">
        <v>183</v>
      </c>
      <c r="N15" s="3" t="s">
        <v>92</v>
      </c>
      <c r="O15" s="3" t="s">
        <v>184</v>
      </c>
      <c r="P15" s="3" t="s">
        <v>185</v>
      </c>
      <c r="Q15" s="3" t="s">
        <v>95</v>
      </c>
      <c r="R15" s="3" t="s">
        <v>186</v>
      </c>
      <c r="S15" s="1"/>
      <c r="T15" s="1"/>
      <c r="U15" s="1"/>
      <c r="V15" s="1"/>
      <c r="W15" s="1"/>
      <c r="X15" s="1"/>
      <c r="Y15" s="1"/>
      <c r="Z15" s="1"/>
    </row>
    <row r="16" spans="1:26" ht="51.75" customHeight="1">
      <c r="A16" s="3">
        <v>12</v>
      </c>
      <c r="B16" s="3" t="s">
        <v>187</v>
      </c>
      <c r="C16" s="3" t="s">
        <v>188</v>
      </c>
      <c r="D16" s="3" t="s">
        <v>189</v>
      </c>
      <c r="E16" s="3" t="s">
        <v>190</v>
      </c>
      <c r="F16" s="3" t="s">
        <v>44</v>
      </c>
      <c r="G16" s="3" t="s">
        <v>101</v>
      </c>
      <c r="H16" s="3" t="s">
        <v>44</v>
      </c>
      <c r="I16" s="16" t="s">
        <v>191</v>
      </c>
      <c r="J16" s="16" t="s">
        <v>192</v>
      </c>
      <c r="K16" s="3" t="s">
        <v>193</v>
      </c>
      <c r="L16" s="3" t="s">
        <v>194</v>
      </c>
      <c r="M16" s="3" t="s">
        <v>195</v>
      </c>
      <c r="N16" s="3" t="s">
        <v>92</v>
      </c>
      <c r="O16" s="3" t="s">
        <v>196</v>
      </c>
      <c r="P16" s="3" t="s">
        <v>197</v>
      </c>
      <c r="Q16" s="3" t="s">
        <v>95</v>
      </c>
      <c r="R16" s="3" t="s">
        <v>198</v>
      </c>
      <c r="S16" s="1"/>
      <c r="T16" s="1"/>
      <c r="U16" s="1"/>
      <c r="V16" s="1"/>
      <c r="W16" s="1"/>
      <c r="X16" s="1"/>
      <c r="Y16" s="1"/>
      <c r="Z16" s="1"/>
    </row>
    <row r="17" spans="1:26" ht="57" customHeight="1">
      <c r="A17" s="3">
        <v>13</v>
      </c>
      <c r="B17" s="3" t="s">
        <v>199</v>
      </c>
      <c r="C17" s="3" t="s">
        <v>200</v>
      </c>
      <c r="D17" s="3" t="s">
        <v>201</v>
      </c>
      <c r="E17" s="3" t="s">
        <v>202</v>
      </c>
      <c r="F17" s="3" t="s">
        <v>101</v>
      </c>
      <c r="G17" s="3" t="s">
        <v>44</v>
      </c>
      <c r="H17" s="3" t="s">
        <v>44</v>
      </c>
      <c r="I17" s="16" t="s">
        <v>203</v>
      </c>
      <c r="J17" s="16" t="s">
        <v>204</v>
      </c>
      <c r="K17" s="3" t="s">
        <v>205</v>
      </c>
      <c r="L17" s="3" t="s">
        <v>206</v>
      </c>
      <c r="M17" s="3" t="s">
        <v>207</v>
      </c>
      <c r="N17" s="3" t="s">
        <v>208</v>
      </c>
      <c r="O17" s="3" t="s">
        <v>209</v>
      </c>
      <c r="P17" s="3" t="s">
        <v>210</v>
      </c>
      <c r="Q17" s="3" t="s">
        <v>68</v>
      </c>
      <c r="R17" s="3" t="s">
        <v>211</v>
      </c>
      <c r="S17" s="1"/>
      <c r="T17" s="1"/>
      <c r="U17" s="1"/>
      <c r="V17" s="1"/>
      <c r="W17" s="1"/>
      <c r="X17" s="1"/>
      <c r="Y17" s="1"/>
      <c r="Z17" s="1"/>
    </row>
    <row r="18" spans="1:26" ht="53.25" customHeight="1">
      <c r="A18" s="3">
        <v>14</v>
      </c>
      <c r="B18" s="5" t="s">
        <v>212</v>
      </c>
      <c r="C18" s="3" t="s">
        <v>213</v>
      </c>
      <c r="D18" s="3" t="s">
        <v>214</v>
      </c>
      <c r="E18" s="3" t="s">
        <v>215</v>
      </c>
      <c r="F18" s="3" t="s">
        <v>44</v>
      </c>
      <c r="G18" s="3" t="s">
        <v>216</v>
      </c>
      <c r="H18" s="3" t="s">
        <v>101</v>
      </c>
      <c r="I18" s="16" t="s">
        <v>217</v>
      </c>
      <c r="J18" s="16" t="s">
        <v>218</v>
      </c>
      <c r="K18" s="3" t="s">
        <v>219</v>
      </c>
      <c r="L18" s="3" t="s">
        <v>220</v>
      </c>
      <c r="M18" s="3" t="s">
        <v>221</v>
      </c>
      <c r="N18" s="3" t="s">
        <v>222</v>
      </c>
      <c r="O18" s="3" t="s">
        <v>223</v>
      </c>
      <c r="P18" s="3" t="s">
        <v>224</v>
      </c>
      <c r="Q18" s="3" t="s">
        <v>68</v>
      </c>
      <c r="R18" s="3" t="s">
        <v>225</v>
      </c>
      <c r="S18" s="1"/>
      <c r="T18" s="1"/>
      <c r="U18" s="1"/>
      <c r="V18" s="1"/>
      <c r="W18" s="1"/>
      <c r="X18" s="1"/>
      <c r="Y18" s="1"/>
      <c r="Z18" s="1"/>
    </row>
    <row r="19" spans="1:26">
      <c r="A19" s="1">
        <v>15</v>
      </c>
      <c r="B19" s="1" t="s">
        <v>226</v>
      </c>
      <c r="C19" s="1" t="s">
        <v>227</v>
      </c>
      <c r="D19" s="1" t="s">
        <v>227</v>
      </c>
      <c r="E19" s="1"/>
      <c r="F19" s="1" t="s">
        <v>228</v>
      </c>
      <c r="G19" s="1" t="s">
        <v>228</v>
      </c>
      <c r="H19" s="1"/>
      <c r="I19" s="15"/>
      <c r="J19" s="15"/>
      <c r="K19" s="1"/>
      <c r="L19" s="1"/>
      <c r="M19" s="1" t="s">
        <v>229</v>
      </c>
      <c r="N19" s="1"/>
      <c r="O19" s="1"/>
      <c r="P19" s="1"/>
      <c r="Q19" s="1"/>
      <c r="R19" s="1"/>
      <c r="S19" s="1"/>
      <c r="T19" s="1"/>
      <c r="U19" s="1"/>
      <c r="V19" s="1"/>
      <c r="W19" s="1"/>
      <c r="X19" s="1"/>
      <c r="Y19" s="1"/>
      <c r="Z19" s="1"/>
    </row>
    <row r="20" spans="1:26">
      <c r="A20" s="1"/>
      <c r="B20" s="1"/>
      <c r="C20" s="1"/>
      <c r="D20" s="1"/>
      <c r="E20" s="1"/>
      <c r="F20" s="1"/>
      <c r="G20" s="1"/>
      <c r="H20" s="1"/>
      <c r="I20" s="15"/>
      <c r="J20" s="15"/>
      <c r="K20" s="1"/>
      <c r="L20" s="1"/>
      <c r="M20" s="1"/>
      <c r="N20" s="1"/>
      <c r="O20" s="1"/>
      <c r="P20" s="1"/>
      <c r="Q20" s="1"/>
      <c r="R20" s="1"/>
      <c r="S20" s="1"/>
      <c r="T20" s="1"/>
      <c r="U20" s="1"/>
      <c r="V20" s="1"/>
      <c r="W20" s="1"/>
      <c r="X20" s="1"/>
      <c r="Y20" s="1"/>
      <c r="Z20" s="1"/>
    </row>
    <row r="21" spans="1:26">
      <c r="A21" s="1"/>
      <c r="B21" s="1"/>
      <c r="C21" s="1"/>
      <c r="D21" s="1"/>
      <c r="E21" s="1"/>
      <c r="F21" s="1"/>
      <c r="G21" s="1"/>
      <c r="H21" s="1"/>
      <c r="I21" s="15"/>
      <c r="J21" s="15"/>
      <c r="K21" s="1"/>
      <c r="L21" s="1"/>
      <c r="M21" s="1"/>
      <c r="N21" s="1"/>
      <c r="O21" s="1"/>
      <c r="P21" s="1"/>
      <c r="Q21" s="1"/>
      <c r="R21" s="1"/>
      <c r="S21" s="1"/>
      <c r="T21" s="1"/>
      <c r="U21" s="1"/>
      <c r="V21" s="1"/>
      <c r="W21" s="1"/>
      <c r="X21" s="1"/>
      <c r="Y21" s="1"/>
      <c r="Z21" s="1"/>
    </row>
    <row r="22" spans="1:26">
      <c r="A22" s="1"/>
      <c r="B22" s="1"/>
      <c r="C22" s="1"/>
      <c r="D22" s="1"/>
      <c r="E22" s="1"/>
      <c r="F22" s="1"/>
      <c r="G22" s="1"/>
      <c r="H22" s="1"/>
      <c r="I22" s="15"/>
      <c r="J22" s="15"/>
      <c r="K22" s="1"/>
      <c r="L22" s="1"/>
      <c r="M22" s="1"/>
      <c r="N22" s="1"/>
      <c r="O22" s="1"/>
      <c r="P22" s="1"/>
      <c r="Q22" s="1"/>
      <c r="R22" s="1"/>
      <c r="S22" s="1"/>
      <c r="T22" s="1"/>
      <c r="U22" s="1"/>
      <c r="V22" s="1"/>
      <c r="W22" s="1"/>
      <c r="X22" s="1"/>
      <c r="Y22" s="1"/>
      <c r="Z22" s="1"/>
    </row>
    <row r="23" spans="1:26">
      <c r="A23" s="1"/>
      <c r="B23" s="1"/>
      <c r="C23" s="1"/>
      <c r="D23" s="1"/>
      <c r="E23" s="1"/>
      <c r="F23" s="1"/>
      <c r="G23" s="1"/>
      <c r="H23" s="1"/>
      <c r="I23" s="15"/>
      <c r="J23" s="15"/>
      <c r="K23" s="1"/>
      <c r="L23" s="1"/>
      <c r="M23" s="1"/>
      <c r="N23" s="1"/>
      <c r="O23" s="1"/>
      <c r="P23" s="1"/>
      <c r="Q23" s="1"/>
      <c r="R23" s="1"/>
      <c r="S23" s="1"/>
      <c r="T23" s="1"/>
      <c r="U23" s="1"/>
      <c r="V23" s="1"/>
      <c r="W23" s="1"/>
      <c r="X23" s="1"/>
      <c r="Y23" s="1"/>
      <c r="Z23" s="1"/>
    </row>
    <row r="24" spans="1:26">
      <c r="A24" s="1"/>
      <c r="B24" s="1"/>
      <c r="C24" s="1"/>
      <c r="D24" s="1"/>
      <c r="E24" s="1"/>
      <c r="F24" s="1"/>
      <c r="G24" s="1"/>
      <c r="H24" s="1"/>
      <c r="I24" s="15"/>
      <c r="J24" s="15"/>
      <c r="K24" s="1"/>
      <c r="L24" s="1"/>
      <c r="M24" s="1"/>
      <c r="N24" s="1"/>
      <c r="O24" s="1"/>
      <c r="P24" s="1"/>
      <c r="Q24" s="1"/>
      <c r="R24" s="1"/>
      <c r="S24" s="1"/>
      <c r="T24" s="1"/>
      <c r="U24" s="1"/>
      <c r="V24" s="1"/>
      <c r="W24" s="1"/>
      <c r="X24" s="1"/>
      <c r="Y24" s="1"/>
      <c r="Z24" s="1"/>
    </row>
    <row r="25" spans="1:26">
      <c r="A25" s="1"/>
      <c r="B25" s="1"/>
      <c r="C25" s="1"/>
      <c r="D25" s="1"/>
      <c r="E25" s="1"/>
      <c r="F25" s="1"/>
      <c r="G25" s="1"/>
      <c r="H25" s="1"/>
      <c r="I25" s="15"/>
      <c r="J25" s="15"/>
      <c r="K25" s="1"/>
      <c r="L25" s="1"/>
      <c r="M25" s="1"/>
      <c r="N25" s="1"/>
      <c r="O25" s="1"/>
      <c r="P25" s="1"/>
      <c r="Q25" s="1"/>
      <c r="R25" s="1"/>
      <c r="S25" s="1"/>
      <c r="T25" s="1"/>
      <c r="U25" s="1"/>
      <c r="V25" s="1"/>
      <c r="W25" s="1"/>
      <c r="X25" s="1"/>
      <c r="Y25" s="1"/>
      <c r="Z25" s="1"/>
    </row>
    <row r="26" spans="1:26">
      <c r="A26" s="1"/>
      <c r="B26" s="1"/>
      <c r="C26" s="1"/>
      <c r="D26" s="1"/>
      <c r="E26" s="1"/>
      <c r="F26" s="1"/>
      <c r="G26" s="1"/>
      <c r="H26" s="1"/>
      <c r="I26" s="15"/>
      <c r="J26" s="15"/>
      <c r="K26" s="1"/>
      <c r="L26" s="1"/>
      <c r="M26" s="1"/>
      <c r="N26" s="1"/>
      <c r="O26" s="1"/>
      <c r="P26" s="1"/>
      <c r="Q26" s="1"/>
      <c r="R26" s="1"/>
      <c r="S26" s="1"/>
      <c r="T26" s="1"/>
      <c r="U26" s="1"/>
      <c r="V26" s="1"/>
      <c r="W26" s="1"/>
      <c r="X26" s="1"/>
      <c r="Y26" s="1"/>
      <c r="Z26" s="1"/>
    </row>
    <row r="27" spans="1:26">
      <c r="A27" s="1"/>
      <c r="B27" s="1"/>
      <c r="C27" s="1"/>
      <c r="D27" s="1"/>
      <c r="E27" s="1"/>
      <c r="F27" s="1"/>
      <c r="G27" s="1"/>
      <c r="H27" s="1"/>
      <c r="I27" s="15"/>
      <c r="J27" s="15"/>
      <c r="K27" s="1"/>
      <c r="L27" s="1"/>
      <c r="M27" s="1"/>
      <c r="N27" s="1"/>
      <c r="O27" s="1"/>
      <c r="P27" s="1"/>
      <c r="Q27" s="1"/>
      <c r="R27" s="1"/>
      <c r="S27" s="1"/>
      <c r="T27" s="1"/>
      <c r="U27" s="1"/>
      <c r="V27" s="1"/>
      <c r="W27" s="1"/>
      <c r="X27" s="1"/>
      <c r="Y27" s="1"/>
      <c r="Z27" s="1"/>
    </row>
    <row r="28" spans="1:26">
      <c r="A28" s="1"/>
      <c r="B28" s="1"/>
      <c r="C28" s="1"/>
      <c r="D28" s="1"/>
      <c r="E28" s="1"/>
      <c r="F28" s="1"/>
      <c r="G28" s="1"/>
      <c r="H28" s="1"/>
      <c r="I28" s="15"/>
      <c r="J28" s="15"/>
      <c r="K28" s="1"/>
      <c r="L28" s="1"/>
      <c r="M28" s="1"/>
      <c r="N28" s="1"/>
      <c r="O28" s="1"/>
      <c r="P28" s="1"/>
      <c r="Q28" s="1"/>
      <c r="R28" s="1"/>
      <c r="S28" s="1"/>
      <c r="T28" s="1"/>
      <c r="U28" s="1"/>
      <c r="V28" s="1"/>
      <c r="W28" s="1"/>
      <c r="X28" s="1"/>
      <c r="Y28" s="1"/>
      <c r="Z28" s="1"/>
    </row>
    <row r="29" spans="1:26">
      <c r="A29" s="1"/>
      <c r="B29" s="1"/>
      <c r="C29" s="1"/>
      <c r="D29" s="1"/>
      <c r="E29" s="1"/>
      <c r="F29" s="1"/>
      <c r="G29" s="1"/>
      <c r="H29" s="1"/>
      <c r="I29" s="15"/>
      <c r="J29" s="15"/>
      <c r="K29" s="1"/>
      <c r="L29" s="1"/>
      <c r="M29" s="1"/>
      <c r="N29" s="1"/>
      <c r="O29" s="1"/>
      <c r="P29" s="1"/>
      <c r="Q29" s="1"/>
      <c r="R29" s="1"/>
      <c r="S29" s="1"/>
      <c r="T29" s="1"/>
      <c r="U29" s="1"/>
      <c r="V29" s="1"/>
      <c r="W29" s="1"/>
      <c r="X29" s="1"/>
      <c r="Y29" s="1"/>
      <c r="Z29" s="1"/>
    </row>
    <row r="30" spans="1:26">
      <c r="A30" s="1"/>
      <c r="B30" s="1"/>
      <c r="C30" s="1"/>
      <c r="D30" s="1"/>
      <c r="E30" s="1"/>
      <c r="F30" s="1"/>
      <c r="G30" s="1"/>
      <c r="H30" s="1"/>
      <c r="I30" s="15"/>
      <c r="J30" s="15"/>
      <c r="K30" s="1"/>
      <c r="L30" s="1"/>
      <c r="M30" s="1"/>
      <c r="N30" s="1"/>
      <c r="O30" s="1"/>
      <c r="P30" s="1"/>
      <c r="Q30" s="1"/>
      <c r="R30" s="1"/>
      <c r="S30" s="1"/>
      <c r="T30" s="1"/>
      <c r="U30" s="1"/>
      <c r="V30" s="1"/>
      <c r="W30" s="1"/>
      <c r="X30" s="1"/>
      <c r="Y30" s="1"/>
      <c r="Z30" s="1"/>
    </row>
    <row r="31" spans="1:26">
      <c r="A31" s="1"/>
      <c r="B31" s="1"/>
      <c r="C31" s="1"/>
      <c r="D31" s="1"/>
      <c r="E31" s="1"/>
      <c r="F31" s="1"/>
      <c r="G31" s="1"/>
      <c r="H31" s="1"/>
      <c r="I31" s="15"/>
      <c r="J31" s="15"/>
      <c r="K31" s="1"/>
      <c r="L31" s="1"/>
      <c r="M31" s="1"/>
      <c r="N31" s="1"/>
      <c r="O31" s="1"/>
      <c r="P31" s="1"/>
      <c r="Q31" s="1"/>
      <c r="R31" s="1"/>
      <c r="S31" s="1"/>
      <c r="T31" s="1"/>
      <c r="U31" s="1"/>
      <c r="V31" s="1"/>
      <c r="W31" s="1"/>
      <c r="X31" s="1"/>
      <c r="Y31" s="1"/>
      <c r="Z31" s="1"/>
    </row>
    <row r="32" spans="1:26">
      <c r="A32" s="1"/>
      <c r="B32" s="1"/>
      <c r="C32" s="1"/>
      <c r="D32" s="1"/>
      <c r="E32" s="1"/>
      <c r="F32" s="1"/>
      <c r="G32" s="1"/>
      <c r="H32" s="1"/>
      <c r="I32" s="15"/>
      <c r="J32" s="15"/>
      <c r="K32" s="1"/>
      <c r="L32" s="1"/>
      <c r="M32" s="1"/>
      <c r="N32" s="1"/>
      <c r="O32" s="1"/>
      <c r="P32" s="1"/>
      <c r="Q32" s="1"/>
      <c r="R32" s="1"/>
      <c r="S32" s="1"/>
      <c r="T32" s="1"/>
      <c r="U32" s="1"/>
      <c r="V32" s="1"/>
      <c r="W32" s="1"/>
      <c r="X32" s="1"/>
      <c r="Y32" s="1"/>
      <c r="Z32" s="1"/>
    </row>
    <row r="33" spans="1:26">
      <c r="A33" s="1"/>
      <c r="B33" s="1"/>
      <c r="C33" s="1"/>
      <c r="D33" s="1"/>
      <c r="E33" s="1"/>
      <c r="F33" s="1"/>
      <c r="G33" s="1"/>
      <c r="H33" s="1"/>
      <c r="I33" s="15"/>
      <c r="J33" s="15"/>
      <c r="K33" s="1"/>
      <c r="L33" s="1"/>
      <c r="M33" s="1"/>
      <c r="N33" s="1"/>
      <c r="O33" s="1"/>
      <c r="P33" s="1"/>
      <c r="Q33" s="1"/>
      <c r="R33" s="1"/>
      <c r="S33" s="1"/>
      <c r="T33" s="1"/>
      <c r="U33" s="1"/>
      <c r="V33" s="1"/>
      <c r="W33" s="1"/>
      <c r="X33" s="1"/>
      <c r="Y33" s="1"/>
      <c r="Z33" s="1"/>
    </row>
    <row r="34" spans="1:26">
      <c r="A34" s="1"/>
      <c r="B34" s="1"/>
      <c r="C34" s="1"/>
      <c r="D34" s="1"/>
      <c r="E34" s="1"/>
      <c r="F34" s="1"/>
      <c r="G34" s="1"/>
      <c r="H34" s="1"/>
      <c r="I34" s="15"/>
      <c r="J34" s="15"/>
      <c r="K34" s="1"/>
      <c r="L34" s="1"/>
      <c r="M34" s="1"/>
      <c r="N34" s="1"/>
      <c r="O34" s="1"/>
      <c r="P34" s="1"/>
      <c r="Q34" s="1"/>
      <c r="R34" s="1"/>
      <c r="S34" s="1"/>
      <c r="T34" s="1"/>
      <c r="U34" s="1"/>
      <c r="V34" s="1"/>
      <c r="W34" s="1"/>
      <c r="X34" s="1"/>
      <c r="Y34" s="1"/>
      <c r="Z34" s="1"/>
    </row>
    <row r="35" spans="1:26">
      <c r="A35" s="1"/>
      <c r="B35" s="1"/>
      <c r="C35" s="1"/>
      <c r="D35" s="1"/>
      <c r="E35" s="1"/>
      <c r="F35" s="1"/>
      <c r="G35" s="1"/>
      <c r="H35" s="1"/>
      <c r="I35" s="15"/>
      <c r="J35" s="15"/>
      <c r="K35" s="1"/>
      <c r="L35" s="1"/>
      <c r="M35" s="1"/>
      <c r="N35" s="1"/>
      <c r="O35" s="1"/>
      <c r="P35" s="1"/>
      <c r="Q35" s="1"/>
      <c r="R35" s="1"/>
      <c r="S35" s="1"/>
      <c r="T35" s="1"/>
      <c r="U35" s="1"/>
      <c r="V35" s="1"/>
      <c r="W35" s="1"/>
      <c r="X35" s="1"/>
      <c r="Y35" s="1"/>
      <c r="Z35" s="1"/>
    </row>
    <row r="36" spans="1:26">
      <c r="A36" s="1"/>
      <c r="B36" s="1"/>
      <c r="C36" s="1"/>
      <c r="D36" s="1"/>
      <c r="E36" s="1"/>
      <c r="F36" s="1"/>
      <c r="G36" s="1"/>
      <c r="H36" s="1"/>
      <c r="I36" s="15"/>
      <c r="J36" s="15"/>
      <c r="K36" s="1"/>
      <c r="L36" s="1"/>
      <c r="M36" s="1"/>
      <c r="N36" s="1"/>
      <c r="O36" s="1"/>
      <c r="P36" s="1"/>
      <c r="Q36" s="1"/>
      <c r="R36" s="1"/>
      <c r="S36" s="1"/>
      <c r="T36" s="1"/>
      <c r="U36" s="1"/>
      <c r="V36" s="1"/>
      <c r="W36" s="1"/>
      <c r="X36" s="1"/>
      <c r="Y36" s="1"/>
      <c r="Z36" s="1"/>
    </row>
    <row r="37" spans="1:26">
      <c r="A37" s="1"/>
      <c r="B37" s="1"/>
      <c r="C37" s="1"/>
      <c r="D37" s="1"/>
      <c r="E37" s="1"/>
      <c r="F37" s="1"/>
      <c r="G37" s="1"/>
      <c r="H37" s="1"/>
      <c r="I37" s="15"/>
      <c r="J37" s="15"/>
      <c r="K37" s="1"/>
      <c r="L37" s="1"/>
      <c r="M37" s="1"/>
      <c r="N37" s="1"/>
      <c r="O37" s="1"/>
      <c r="P37" s="1"/>
      <c r="Q37" s="1"/>
      <c r="R37" s="1"/>
      <c r="S37" s="1"/>
      <c r="T37" s="1"/>
      <c r="U37" s="1"/>
      <c r="V37" s="1"/>
      <c r="W37" s="1"/>
      <c r="X37" s="1"/>
      <c r="Y37" s="1"/>
      <c r="Z37" s="1"/>
    </row>
    <row r="38" spans="1:26">
      <c r="A38" s="1"/>
      <c r="B38" s="1"/>
      <c r="C38" s="1"/>
      <c r="D38" s="1"/>
      <c r="E38" s="1"/>
      <c r="F38" s="1"/>
      <c r="G38" s="1"/>
      <c r="H38" s="1"/>
      <c r="I38" s="15"/>
      <c r="J38" s="15"/>
      <c r="K38" s="1"/>
      <c r="L38" s="1"/>
      <c r="M38" s="1"/>
      <c r="N38" s="1"/>
      <c r="O38" s="1"/>
      <c r="P38" s="1"/>
      <c r="Q38" s="1"/>
      <c r="R38" s="1"/>
      <c r="S38" s="1"/>
      <c r="T38" s="1"/>
      <c r="U38" s="1"/>
      <c r="V38" s="1"/>
      <c r="W38" s="1"/>
      <c r="X38" s="1"/>
      <c r="Y38" s="1"/>
      <c r="Z38" s="1"/>
    </row>
    <row r="39" spans="1:26">
      <c r="A39" s="1"/>
      <c r="B39" s="1"/>
      <c r="C39" s="1"/>
      <c r="D39" s="1"/>
      <c r="E39" s="1"/>
      <c r="F39" s="1"/>
      <c r="G39" s="1"/>
      <c r="H39" s="1"/>
      <c r="I39" s="15"/>
      <c r="J39" s="15"/>
      <c r="K39" s="1"/>
      <c r="L39" s="1"/>
      <c r="M39" s="1"/>
      <c r="N39" s="1"/>
      <c r="O39" s="1"/>
      <c r="P39" s="1"/>
      <c r="Q39" s="1"/>
      <c r="R39" s="1"/>
      <c r="S39" s="1"/>
      <c r="T39" s="1"/>
      <c r="U39" s="1"/>
      <c r="V39" s="1"/>
      <c r="W39" s="1"/>
      <c r="X39" s="1"/>
      <c r="Y39" s="1"/>
      <c r="Z39" s="1"/>
    </row>
    <row r="40" spans="1:26">
      <c r="A40" s="1"/>
      <c r="B40" s="1"/>
      <c r="C40" s="1"/>
      <c r="D40" s="1"/>
      <c r="E40" s="1"/>
      <c r="F40" s="1"/>
      <c r="G40" s="1"/>
      <c r="H40" s="1"/>
      <c r="I40" s="15"/>
      <c r="J40" s="15"/>
      <c r="K40" s="1"/>
      <c r="L40" s="1"/>
      <c r="M40" s="1"/>
      <c r="N40" s="1"/>
      <c r="O40" s="1"/>
      <c r="P40" s="1"/>
      <c r="Q40" s="1"/>
      <c r="R40" s="1"/>
      <c r="S40" s="1"/>
      <c r="T40" s="1"/>
      <c r="U40" s="1"/>
      <c r="V40" s="1"/>
      <c r="W40" s="1"/>
      <c r="X40" s="1"/>
      <c r="Y40" s="1"/>
      <c r="Z40" s="1"/>
    </row>
    <row r="41" spans="1:26">
      <c r="A41" s="1"/>
      <c r="B41" s="1"/>
      <c r="C41" s="1"/>
      <c r="D41" s="1"/>
      <c r="E41" s="1"/>
      <c r="F41" s="1"/>
      <c r="G41" s="1"/>
      <c r="H41" s="1"/>
      <c r="I41" s="15"/>
      <c r="J41" s="15"/>
      <c r="K41" s="1"/>
      <c r="L41" s="1"/>
      <c r="M41" s="1"/>
      <c r="N41" s="1"/>
      <c r="O41" s="1"/>
      <c r="P41" s="1"/>
      <c r="Q41" s="1"/>
      <c r="R41" s="1"/>
      <c r="S41" s="1"/>
      <c r="T41" s="1"/>
      <c r="U41" s="1"/>
      <c r="V41" s="1"/>
      <c r="W41" s="1"/>
      <c r="X41" s="1"/>
      <c r="Y41" s="1"/>
      <c r="Z41" s="1"/>
    </row>
    <row r="42" spans="1:26">
      <c r="A42" s="1"/>
      <c r="B42" s="1"/>
      <c r="C42" s="1"/>
      <c r="D42" s="1"/>
      <c r="E42" s="1"/>
      <c r="F42" s="1"/>
      <c r="G42" s="1"/>
      <c r="H42" s="1"/>
      <c r="I42" s="15"/>
      <c r="J42" s="15"/>
      <c r="K42" s="1"/>
      <c r="L42" s="1"/>
      <c r="M42" s="1"/>
      <c r="N42" s="1"/>
      <c r="O42" s="1"/>
      <c r="P42" s="1"/>
      <c r="Q42" s="1"/>
      <c r="R42" s="1"/>
      <c r="S42" s="1"/>
      <c r="T42" s="1"/>
      <c r="U42" s="1"/>
      <c r="V42" s="1"/>
      <c r="W42" s="1"/>
      <c r="X42" s="1"/>
      <c r="Y42" s="1"/>
      <c r="Z42" s="1"/>
    </row>
    <row r="43" spans="1:26">
      <c r="A43" s="1"/>
      <c r="B43" s="1"/>
      <c r="C43" s="1"/>
      <c r="D43" s="1"/>
      <c r="E43" s="1"/>
      <c r="F43" s="1"/>
      <c r="G43" s="1"/>
      <c r="H43" s="1"/>
      <c r="I43" s="15"/>
      <c r="J43" s="15"/>
      <c r="K43" s="1"/>
      <c r="L43" s="1"/>
      <c r="M43" s="1"/>
      <c r="N43" s="1"/>
      <c r="O43" s="1"/>
      <c r="P43" s="1"/>
      <c r="Q43" s="1"/>
      <c r="R43" s="1"/>
      <c r="S43" s="1"/>
      <c r="T43" s="1"/>
      <c r="U43" s="1"/>
      <c r="V43" s="1"/>
      <c r="W43" s="1"/>
      <c r="X43" s="1"/>
      <c r="Y43" s="1"/>
      <c r="Z43" s="1"/>
    </row>
    <row r="44" spans="1:26">
      <c r="A44" s="1"/>
      <c r="B44" s="1"/>
      <c r="C44" s="1"/>
      <c r="D44" s="1"/>
      <c r="E44" s="1"/>
      <c r="F44" s="1"/>
      <c r="G44" s="1"/>
      <c r="H44" s="1"/>
      <c r="I44" s="15"/>
      <c r="J44" s="15"/>
      <c r="K44" s="1"/>
      <c r="L44" s="1"/>
      <c r="M44" s="1"/>
      <c r="N44" s="1"/>
      <c r="O44" s="1"/>
      <c r="P44" s="1"/>
      <c r="Q44" s="1"/>
      <c r="R44" s="1"/>
      <c r="S44" s="1"/>
      <c r="T44" s="1"/>
      <c r="U44" s="1"/>
      <c r="V44" s="1"/>
      <c r="W44" s="1"/>
      <c r="X44" s="1"/>
      <c r="Y44" s="1"/>
      <c r="Z44" s="1"/>
    </row>
    <row r="45" spans="1:26">
      <c r="A45" s="1"/>
      <c r="B45" s="1"/>
      <c r="C45" s="1"/>
      <c r="D45" s="1"/>
      <c r="E45" s="1"/>
      <c r="F45" s="1"/>
      <c r="G45" s="1"/>
      <c r="H45" s="1"/>
      <c r="I45" s="15"/>
      <c r="J45" s="15"/>
      <c r="K45" s="1"/>
      <c r="L45" s="1"/>
      <c r="M45" s="1"/>
      <c r="N45" s="1"/>
      <c r="O45" s="1"/>
      <c r="P45" s="1"/>
      <c r="Q45" s="1"/>
      <c r="R45" s="1"/>
      <c r="S45" s="1"/>
      <c r="T45" s="1"/>
      <c r="U45" s="1"/>
      <c r="V45" s="1"/>
      <c r="W45" s="1"/>
      <c r="X45" s="1"/>
      <c r="Y45" s="1"/>
      <c r="Z45" s="1"/>
    </row>
    <row r="46" spans="1:26">
      <c r="A46" s="1"/>
      <c r="B46" s="1"/>
      <c r="C46" s="1"/>
      <c r="D46" s="1"/>
      <c r="E46" s="1"/>
      <c r="F46" s="1"/>
      <c r="G46" s="1"/>
      <c r="H46" s="1"/>
      <c r="I46" s="15"/>
      <c r="J46" s="15"/>
      <c r="K46" s="1"/>
      <c r="L46" s="1"/>
      <c r="M46" s="1"/>
      <c r="N46" s="1"/>
      <c r="O46" s="1"/>
      <c r="P46" s="1"/>
      <c r="Q46" s="1"/>
      <c r="R46" s="1"/>
      <c r="S46" s="1"/>
      <c r="T46" s="1"/>
      <c r="U46" s="1"/>
      <c r="V46" s="1"/>
      <c r="W46" s="1"/>
      <c r="X46" s="1"/>
      <c r="Y46" s="1"/>
      <c r="Z46" s="1"/>
    </row>
    <row r="47" spans="1:26">
      <c r="A47" s="1"/>
      <c r="B47" s="1"/>
      <c r="C47" s="1"/>
      <c r="D47" s="1"/>
      <c r="E47" s="1"/>
      <c r="F47" s="1"/>
      <c r="G47" s="1"/>
      <c r="H47" s="1"/>
      <c r="I47" s="15"/>
      <c r="J47" s="15"/>
      <c r="K47" s="1"/>
      <c r="L47" s="1"/>
      <c r="M47" s="1"/>
      <c r="N47" s="1"/>
      <c r="O47" s="1"/>
      <c r="P47" s="1"/>
      <c r="Q47" s="1"/>
      <c r="R47" s="1"/>
      <c r="S47" s="1"/>
      <c r="T47" s="1"/>
      <c r="U47" s="1"/>
      <c r="V47" s="1"/>
      <c r="W47" s="1"/>
      <c r="X47" s="1"/>
      <c r="Y47" s="1"/>
      <c r="Z47" s="1"/>
    </row>
    <row r="48" spans="1:26">
      <c r="A48" s="1"/>
      <c r="B48" s="1"/>
      <c r="C48" s="1"/>
      <c r="D48" s="1"/>
      <c r="E48" s="1"/>
      <c r="F48" s="1"/>
      <c r="G48" s="1"/>
      <c r="H48" s="1"/>
      <c r="I48" s="15"/>
      <c r="J48" s="15"/>
      <c r="K48" s="1"/>
      <c r="L48" s="1"/>
      <c r="M48" s="1"/>
      <c r="N48" s="1"/>
      <c r="O48" s="1"/>
      <c r="P48" s="1"/>
      <c r="Q48" s="1"/>
      <c r="R48" s="1"/>
      <c r="S48" s="1"/>
      <c r="T48" s="1"/>
      <c r="U48" s="1"/>
      <c r="V48" s="1"/>
      <c r="W48" s="1"/>
      <c r="X48" s="1"/>
      <c r="Y48" s="1"/>
      <c r="Z48" s="1"/>
    </row>
    <row r="49" spans="1:26">
      <c r="A49" s="1"/>
      <c r="B49" s="1"/>
      <c r="C49" s="1"/>
      <c r="D49" s="1"/>
      <c r="E49" s="1"/>
      <c r="F49" s="1"/>
      <c r="G49" s="1"/>
      <c r="H49" s="1"/>
      <c r="I49" s="15"/>
      <c r="J49" s="15"/>
      <c r="K49" s="1"/>
      <c r="L49" s="1"/>
      <c r="M49" s="1"/>
      <c r="N49" s="1"/>
      <c r="O49" s="1"/>
      <c r="P49" s="1"/>
      <c r="Q49" s="1"/>
      <c r="R49" s="1"/>
      <c r="S49" s="1"/>
      <c r="T49" s="1"/>
      <c r="U49" s="1"/>
      <c r="V49" s="1"/>
      <c r="W49" s="1"/>
      <c r="X49" s="1"/>
      <c r="Y49" s="1"/>
      <c r="Z49" s="1"/>
    </row>
    <row r="50" spans="1:26">
      <c r="A50" s="1"/>
      <c r="B50" s="1"/>
      <c r="C50" s="1"/>
      <c r="D50" s="1"/>
      <c r="E50" s="1"/>
      <c r="F50" s="1"/>
      <c r="G50" s="1"/>
      <c r="H50" s="1"/>
      <c r="I50" s="15"/>
      <c r="J50" s="15"/>
      <c r="K50" s="1"/>
      <c r="L50" s="1"/>
      <c r="M50" s="1"/>
      <c r="N50" s="1"/>
      <c r="O50" s="1"/>
      <c r="P50" s="1"/>
      <c r="Q50" s="1"/>
      <c r="R50" s="1"/>
      <c r="S50" s="1"/>
      <c r="T50" s="1"/>
      <c r="U50" s="1"/>
      <c r="V50" s="1"/>
      <c r="W50" s="1"/>
      <c r="X50" s="1"/>
      <c r="Y50" s="1"/>
      <c r="Z50" s="1"/>
    </row>
    <row r="51" spans="1:26">
      <c r="A51" s="1"/>
      <c r="B51" s="1"/>
      <c r="C51" s="1"/>
      <c r="D51" s="1"/>
      <c r="E51" s="1"/>
      <c r="F51" s="1"/>
      <c r="G51" s="1"/>
      <c r="H51" s="1"/>
      <c r="I51" s="15"/>
      <c r="J51" s="15"/>
      <c r="K51" s="1"/>
      <c r="L51" s="1"/>
      <c r="M51" s="1"/>
      <c r="N51" s="1"/>
      <c r="O51" s="1"/>
      <c r="P51" s="1"/>
      <c r="Q51" s="1"/>
      <c r="R51" s="1"/>
      <c r="S51" s="1"/>
      <c r="T51" s="1"/>
      <c r="U51" s="1"/>
      <c r="V51" s="1"/>
      <c r="W51" s="1"/>
      <c r="X51" s="1"/>
      <c r="Y51" s="1"/>
      <c r="Z51" s="1"/>
    </row>
    <row r="52" spans="1:26">
      <c r="A52" s="1"/>
      <c r="B52" s="1"/>
      <c r="C52" s="1"/>
      <c r="D52" s="1"/>
      <c r="E52" s="1"/>
      <c r="F52" s="1"/>
      <c r="G52" s="1"/>
      <c r="H52" s="1"/>
      <c r="I52" s="15"/>
      <c r="J52" s="15"/>
      <c r="K52" s="1"/>
      <c r="L52" s="1"/>
      <c r="M52" s="1"/>
      <c r="N52" s="1"/>
      <c r="O52" s="1"/>
      <c r="P52" s="1"/>
      <c r="Q52" s="1"/>
      <c r="R52" s="1"/>
      <c r="S52" s="1"/>
      <c r="T52" s="1"/>
      <c r="U52" s="1"/>
      <c r="V52" s="1"/>
      <c r="W52" s="1"/>
      <c r="X52" s="1"/>
      <c r="Y52" s="1"/>
      <c r="Z52" s="1"/>
    </row>
    <row r="53" spans="1:26">
      <c r="A53" s="1"/>
      <c r="B53" s="1"/>
      <c r="C53" s="1"/>
      <c r="D53" s="1"/>
      <c r="E53" s="1"/>
      <c r="F53" s="1"/>
      <c r="G53" s="1"/>
      <c r="H53" s="1"/>
      <c r="I53" s="15"/>
      <c r="J53" s="15"/>
      <c r="K53" s="1"/>
      <c r="L53" s="1"/>
      <c r="M53" s="1"/>
      <c r="N53" s="1"/>
      <c r="O53" s="1"/>
      <c r="P53" s="1"/>
      <c r="Q53" s="1"/>
      <c r="R53" s="1"/>
      <c r="S53" s="1"/>
      <c r="T53" s="1"/>
      <c r="U53" s="1"/>
      <c r="V53" s="1"/>
      <c r="W53" s="1"/>
      <c r="X53" s="1"/>
      <c r="Y53" s="1"/>
      <c r="Z53" s="1"/>
    </row>
    <row r="54" spans="1:26">
      <c r="A54" s="1"/>
      <c r="B54" s="1"/>
      <c r="C54" s="1"/>
      <c r="D54" s="1"/>
      <c r="E54" s="1"/>
      <c r="F54" s="1"/>
      <c r="G54" s="1"/>
      <c r="H54" s="1"/>
      <c r="I54" s="15"/>
      <c r="J54" s="15"/>
      <c r="K54" s="1"/>
      <c r="L54" s="1"/>
      <c r="M54" s="1"/>
      <c r="N54" s="1"/>
      <c r="O54" s="1"/>
      <c r="P54" s="1"/>
      <c r="Q54" s="1"/>
      <c r="R54" s="1"/>
      <c r="S54" s="1"/>
      <c r="T54" s="1"/>
      <c r="U54" s="1"/>
      <c r="V54" s="1"/>
      <c r="W54" s="1"/>
      <c r="X54" s="1"/>
      <c r="Y54" s="1"/>
      <c r="Z54" s="1"/>
    </row>
    <row r="55" spans="1:26">
      <c r="A55" s="1"/>
      <c r="B55" s="1"/>
      <c r="C55" s="1"/>
      <c r="D55" s="1"/>
      <c r="E55" s="1"/>
      <c r="F55" s="1"/>
      <c r="G55" s="1"/>
      <c r="H55" s="1"/>
      <c r="I55" s="15"/>
      <c r="J55" s="15"/>
      <c r="K55" s="1"/>
      <c r="L55" s="1"/>
      <c r="M55" s="1"/>
      <c r="N55" s="1"/>
      <c r="O55" s="1"/>
      <c r="P55" s="1"/>
      <c r="Q55" s="1"/>
      <c r="R55" s="1"/>
      <c r="S55" s="1"/>
      <c r="T55" s="1"/>
      <c r="U55" s="1"/>
      <c r="V55" s="1"/>
      <c r="W55" s="1"/>
      <c r="X55" s="1"/>
      <c r="Y55" s="1"/>
      <c r="Z55" s="1"/>
    </row>
    <row r="56" spans="1:26">
      <c r="A56" s="1"/>
      <c r="B56" s="1"/>
      <c r="C56" s="1"/>
      <c r="D56" s="1"/>
      <c r="E56" s="1"/>
      <c r="F56" s="1"/>
      <c r="G56" s="1"/>
      <c r="H56" s="1"/>
      <c r="I56" s="15"/>
      <c r="J56" s="15"/>
      <c r="K56" s="1"/>
      <c r="L56" s="1"/>
      <c r="M56" s="1"/>
      <c r="N56" s="1"/>
      <c r="O56" s="1"/>
      <c r="P56" s="1"/>
      <c r="Q56" s="1"/>
      <c r="R56" s="1"/>
      <c r="S56" s="1"/>
      <c r="T56" s="1"/>
      <c r="U56" s="1"/>
      <c r="V56" s="1"/>
      <c r="W56" s="1"/>
      <c r="X56" s="1"/>
      <c r="Y56" s="1"/>
      <c r="Z56" s="1"/>
    </row>
    <row r="57" spans="1:26">
      <c r="A57" s="1"/>
      <c r="B57" s="1"/>
      <c r="C57" s="1"/>
      <c r="D57" s="1"/>
      <c r="E57" s="1"/>
      <c r="F57" s="1"/>
      <c r="G57" s="1"/>
      <c r="H57" s="1"/>
      <c r="I57" s="15"/>
      <c r="J57" s="15"/>
      <c r="K57" s="1"/>
      <c r="L57" s="1"/>
      <c r="M57" s="1"/>
      <c r="N57" s="1"/>
      <c r="O57" s="1"/>
      <c r="P57" s="1"/>
      <c r="Q57" s="1"/>
      <c r="R57" s="1"/>
      <c r="S57" s="1"/>
      <c r="T57" s="1"/>
      <c r="U57" s="1"/>
      <c r="V57" s="1"/>
      <c r="W57" s="1"/>
      <c r="X57" s="1"/>
      <c r="Y57" s="1"/>
      <c r="Z57" s="1"/>
    </row>
    <row r="58" spans="1:26">
      <c r="A58" s="1"/>
      <c r="B58" s="1"/>
      <c r="C58" s="1"/>
      <c r="D58" s="1"/>
      <c r="E58" s="1"/>
      <c r="F58" s="1"/>
      <c r="G58" s="1"/>
      <c r="H58" s="1"/>
      <c r="I58" s="15"/>
      <c r="J58" s="15"/>
      <c r="K58" s="1"/>
      <c r="L58" s="1"/>
      <c r="M58" s="1"/>
      <c r="N58" s="1"/>
      <c r="O58" s="1"/>
      <c r="P58" s="1"/>
      <c r="Q58" s="1"/>
      <c r="R58" s="1"/>
      <c r="S58" s="1"/>
      <c r="T58" s="1"/>
      <c r="U58" s="1"/>
      <c r="V58" s="1"/>
      <c r="W58" s="1"/>
      <c r="X58" s="1"/>
      <c r="Y58" s="1"/>
      <c r="Z58" s="1"/>
    </row>
    <row r="59" spans="1:26">
      <c r="A59" s="1"/>
      <c r="B59" s="1"/>
      <c r="C59" s="1"/>
      <c r="D59" s="1"/>
      <c r="E59" s="1"/>
      <c r="F59" s="1"/>
      <c r="G59" s="1"/>
      <c r="H59" s="1"/>
      <c r="I59" s="15"/>
      <c r="J59" s="15"/>
      <c r="K59" s="1"/>
      <c r="L59" s="1"/>
      <c r="M59" s="1"/>
      <c r="N59" s="1"/>
      <c r="O59" s="1"/>
      <c r="P59" s="1"/>
      <c r="Q59" s="1"/>
      <c r="R59" s="1"/>
      <c r="S59" s="1"/>
      <c r="T59" s="1"/>
      <c r="U59" s="1"/>
      <c r="V59" s="1"/>
      <c r="W59" s="1"/>
      <c r="X59" s="1"/>
      <c r="Y59" s="1"/>
      <c r="Z59" s="1"/>
    </row>
    <row r="60" spans="1:26">
      <c r="A60" s="1"/>
      <c r="B60" s="1"/>
      <c r="C60" s="1"/>
      <c r="D60" s="1"/>
      <c r="E60" s="1"/>
      <c r="F60" s="1"/>
      <c r="G60" s="1"/>
      <c r="H60" s="1"/>
      <c r="I60" s="15"/>
      <c r="J60" s="15"/>
      <c r="K60" s="1"/>
      <c r="L60" s="1"/>
      <c r="M60" s="1"/>
      <c r="N60" s="1"/>
      <c r="O60" s="1"/>
      <c r="P60" s="1"/>
      <c r="Q60" s="1"/>
      <c r="R60" s="1"/>
      <c r="S60" s="1"/>
      <c r="T60" s="1"/>
      <c r="U60" s="1"/>
      <c r="V60" s="1"/>
      <c r="W60" s="1"/>
      <c r="X60" s="1"/>
      <c r="Y60" s="1"/>
      <c r="Z60" s="1"/>
    </row>
    <row r="61" spans="1:26">
      <c r="A61" s="1"/>
      <c r="B61" s="1"/>
      <c r="C61" s="1"/>
      <c r="D61" s="1"/>
      <c r="E61" s="1"/>
      <c r="F61" s="1"/>
      <c r="G61" s="1"/>
      <c r="H61" s="1"/>
      <c r="I61" s="15"/>
      <c r="J61" s="15"/>
      <c r="K61" s="1"/>
      <c r="L61" s="1"/>
      <c r="M61" s="1"/>
      <c r="N61" s="1"/>
      <c r="O61" s="1"/>
      <c r="P61" s="1"/>
      <c r="Q61" s="1"/>
      <c r="R61" s="1"/>
      <c r="S61" s="1"/>
      <c r="T61" s="1"/>
      <c r="U61" s="1"/>
      <c r="V61" s="1"/>
      <c r="W61" s="1"/>
      <c r="X61" s="1"/>
      <c r="Y61" s="1"/>
      <c r="Z61" s="1"/>
    </row>
    <row r="62" spans="1:26">
      <c r="A62" s="1"/>
      <c r="B62" s="1"/>
      <c r="C62" s="1"/>
      <c r="D62" s="1"/>
      <c r="E62" s="1"/>
      <c r="F62" s="1"/>
      <c r="G62" s="1"/>
      <c r="H62" s="1"/>
      <c r="I62" s="15"/>
      <c r="J62" s="15"/>
      <c r="K62" s="1"/>
      <c r="L62" s="1"/>
      <c r="M62" s="1"/>
      <c r="N62" s="1"/>
      <c r="O62" s="1"/>
      <c r="P62" s="1"/>
      <c r="Q62" s="1"/>
      <c r="R62" s="1"/>
      <c r="S62" s="1"/>
      <c r="T62" s="1"/>
      <c r="U62" s="1"/>
      <c r="V62" s="1"/>
      <c r="W62" s="1"/>
      <c r="X62" s="1"/>
      <c r="Y62" s="1"/>
      <c r="Z62" s="1"/>
    </row>
    <row r="63" spans="1:26">
      <c r="A63" s="1"/>
      <c r="B63" s="1"/>
      <c r="C63" s="1"/>
      <c r="D63" s="1"/>
      <c r="E63" s="1"/>
      <c r="F63" s="1"/>
      <c r="G63" s="1"/>
      <c r="H63" s="1"/>
      <c r="I63" s="15"/>
      <c r="J63" s="15"/>
      <c r="K63" s="1"/>
      <c r="L63" s="1"/>
      <c r="M63" s="1"/>
      <c r="N63" s="1"/>
      <c r="O63" s="1"/>
      <c r="P63" s="1"/>
      <c r="Q63" s="1"/>
      <c r="R63" s="1"/>
      <c r="S63" s="1"/>
      <c r="T63" s="1"/>
      <c r="U63" s="1"/>
      <c r="V63" s="1"/>
      <c r="W63" s="1"/>
      <c r="X63" s="1"/>
      <c r="Y63" s="1"/>
      <c r="Z63" s="1"/>
    </row>
    <row r="64" spans="1:26">
      <c r="A64" s="1"/>
      <c r="B64" s="1"/>
      <c r="C64" s="1"/>
      <c r="D64" s="1"/>
      <c r="E64" s="1"/>
      <c r="F64" s="1"/>
      <c r="G64" s="1"/>
      <c r="H64" s="1"/>
      <c r="I64" s="15"/>
      <c r="J64" s="15"/>
      <c r="K64" s="1"/>
      <c r="L64" s="1"/>
      <c r="M64" s="1"/>
      <c r="N64" s="1"/>
      <c r="O64" s="1"/>
      <c r="P64" s="1"/>
      <c r="Q64" s="1"/>
      <c r="R64" s="1"/>
      <c r="S64" s="1"/>
      <c r="T64" s="1"/>
      <c r="U64" s="1"/>
      <c r="V64" s="1"/>
      <c r="W64" s="1"/>
      <c r="X64" s="1"/>
      <c r="Y64" s="1"/>
      <c r="Z64" s="1"/>
    </row>
    <row r="65" spans="1:26">
      <c r="A65" s="1"/>
      <c r="B65" s="1"/>
      <c r="C65" s="1"/>
      <c r="D65" s="1"/>
      <c r="E65" s="1"/>
      <c r="F65" s="1"/>
      <c r="G65" s="1"/>
      <c r="H65" s="1"/>
      <c r="I65" s="15"/>
      <c r="J65" s="15"/>
      <c r="K65" s="1"/>
      <c r="L65" s="1"/>
      <c r="M65" s="1"/>
      <c r="N65" s="1"/>
      <c r="O65" s="1"/>
      <c r="P65" s="1"/>
      <c r="Q65" s="1"/>
      <c r="R65" s="1"/>
      <c r="S65" s="1"/>
      <c r="T65" s="1"/>
      <c r="U65" s="1"/>
      <c r="V65" s="1"/>
      <c r="W65" s="1"/>
      <c r="X65" s="1"/>
      <c r="Y65" s="1"/>
      <c r="Z65" s="1"/>
    </row>
    <row r="66" spans="1:26">
      <c r="A66" s="1"/>
      <c r="B66" s="1"/>
      <c r="C66" s="1"/>
      <c r="D66" s="1"/>
      <c r="E66" s="1"/>
      <c r="F66" s="1"/>
      <c r="G66" s="1"/>
      <c r="H66" s="1"/>
      <c r="I66" s="15"/>
      <c r="J66" s="15"/>
      <c r="K66" s="1"/>
      <c r="L66" s="1"/>
      <c r="M66" s="1"/>
      <c r="N66" s="1"/>
      <c r="O66" s="1"/>
      <c r="P66" s="1"/>
      <c r="Q66" s="1"/>
      <c r="R66" s="1"/>
      <c r="S66" s="1"/>
      <c r="T66" s="1"/>
      <c r="U66" s="1"/>
      <c r="V66" s="1"/>
      <c r="W66" s="1"/>
      <c r="X66" s="1"/>
      <c r="Y66" s="1"/>
      <c r="Z66" s="1"/>
    </row>
    <row r="67" spans="1:26">
      <c r="A67" s="1"/>
      <c r="B67" s="1"/>
      <c r="C67" s="1"/>
      <c r="D67" s="1"/>
      <c r="E67" s="1"/>
      <c r="F67" s="1"/>
      <c r="G67" s="1"/>
      <c r="H67" s="1"/>
      <c r="I67" s="15"/>
      <c r="J67" s="15"/>
      <c r="K67" s="1"/>
      <c r="L67" s="1"/>
      <c r="M67" s="1"/>
      <c r="N67" s="1"/>
      <c r="O67" s="1"/>
      <c r="P67" s="1"/>
      <c r="Q67" s="1"/>
      <c r="R67" s="1"/>
      <c r="S67" s="1"/>
      <c r="T67" s="1"/>
      <c r="U67" s="1"/>
      <c r="V67" s="1"/>
      <c r="W67" s="1"/>
      <c r="X67" s="1"/>
      <c r="Y67" s="1"/>
      <c r="Z67" s="1"/>
    </row>
    <row r="68" spans="1:26">
      <c r="A68" s="1"/>
      <c r="B68" s="1"/>
      <c r="C68" s="1"/>
      <c r="D68" s="1"/>
      <c r="E68" s="1"/>
      <c r="F68" s="1"/>
      <c r="G68" s="1"/>
      <c r="H68" s="1"/>
      <c r="I68" s="15"/>
      <c r="J68" s="15"/>
      <c r="K68" s="1"/>
      <c r="L68" s="1"/>
      <c r="M68" s="1"/>
      <c r="N68" s="1"/>
      <c r="O68" s="1"/>
      <c r="P68" s="1"/>
      <c r="Q68" s="1"/>
      <c r="R68" s="1"/>
      <c r="S68" s="1"/>
      <c r="T68" s="1"/>
      <c r="U68" s="1"/>
      <c r="V68" s="1"/>
      <c r="W68" s="1"/>
      <c r="X68" s="1"/>
      <c r="Y68" s="1"/>
      <c r="Z68" s="1"/>
    </row>
    <row r="69" spans="1:26">
      <c r="A69" s="1"/>
      <c r="B69" s="1"/>
      <c r="C69" s="1"/>
      <c r="D69" s="1"/>
      <c r="E69" s="1"/>
      <c r="F69" s="1"/>
      <c r="G69" s="1"/>
      <c r="H69" s="1"/>
      <c r="I69" s="15"/>
      <c r="J69" s="15"/>
      <c r="K69" s="1"/>
      <c r="L69" s="1"/>
      <c r="M69" s="1"/>
      <c r="N69" s="1"/>
      <c r="O69" s="1"/>
      <c r="P69" s="1"/>
      <c r="Q69" s="1"/>
      <c r="R69" s="1"/>
      <c r="S69" s="1"/>
      <c r="T69" s="1"/>
      <c r="U69" s="1"/>
      <c r="V69" s="1"/>
      <c r="W69" s="1"/>
      <c r="X69" s="1"/>
      <c r="Y69" s="1"/>
      <c r="Z69" s="1"/>
    </row>
    <row r="70" spans="1:26">
      <c r="A70" s="1"/>
      <c r="B70" s="1"/>
      <c r="C70" s="1"/>
      <c r="D70" s="1"/>
      <c r="E70" s="1"/>
      <c r="F70" s="1"/>
      <c r="G70" s="1"/>
      <c r="H70" s="1"/>
      <c r="I70" s="15"/>
      <c r="J70" s="15"/>
      <c r="K70" s="1"/>
      <c r="L70" s="1"/>
      <c r="M70" s="1"/>
      <c r="N70" s="1"/>
      <c r="O70" s="1"/>
      <c r="P70" s="1"/>
      <c r="Q70" s="1"/>
      <c r="R70" s="1"/>
      <c r="S70" s="1"/>
      <c r="T70" s="1"/>
      <c r="U70" s="1"/>
      <c r="V70" s="1"/>
      <c r="W70" s="1"/>
      <c r="X70" s="1"/>
      <c r="Y70" s="1"/>
      <c r="Z70" s="1"/>
    </row>
    <row r="71" spans="1:26">
      <c r="A71" s="1"/>
      <c r="B71" s="1"/>
      <c r="C71" s="1"/>
      <c r="D71" s="1"/>
      <c r="E71" s="1"/>
      <c r="F71" s="1"/>
      <c r="G71" s="1"/>
      <c r="H71" s="1"/>
      <c r="I71" s="15"/>
      <c r="J71" s="15"/>
      <c r="K71" s="1"/>
      <c r="L71" s="1"/>
      <c r="M71" s="1"/>
      <c r="N71" s="1"/>
      <c r="O71" s="1"/>
      <c r="P71" s="1"/>
      <c r="Q71" s="1"/>
      <c r="R71" s="1"/>
      <c r="S71" s="1"/>
      <c r="T71" s="1"/>
      <c r="U71" s="1"/>
      <c r="V71" s="1"/>
      <c r="W71" s="1"/>
      <c r="X71" s="1"/>
      <c r="Y71" s="1"/>
      <c r="Z71" s="1"/>
    </row>
    <row r="72" spans="1:26">
      <c r="A72" s="1"/>
      <c r="B72" s="1"/>
      <c r="C72" s="1"/>
      <c r="D72" s="1"/>
      <c r="E72" s="1"/>
      <c r="F72" s="1"/>
      <c r="G72" s="1"/>
      <c r="H72" s="1"/>
      <c r="I72" s="15"/>
      <c r="J72" s="15"/>
      <c r="K72" s="1"/>
      <c r="L72" s="1"/>
      <c r="M72" s="1"/>
      <c r="N72" s="1"/>
      <c r="O72" s="1"/>
      <c r="P72" s="1"/>
      <c r="Q72" s="1"/>
      <c r="R72" s="1"/>
      <c r="S72" s="1"/>
      <c r="T72" s="1"/>
      <c r="U72" s="1"/>
      <c r="V72" s="1"/>
      <c r="W72" s="1"/>
      <c r="X72" s="1"/>
      <c r="Y72" s="1"/>
      <c r="Z72" s="1"/>
    </row>
    <row r="73" spans="1:26">
      <c r="A73" s="1"/>
      <c r="B73" s="1"/>
      <c r="C73" s="1"/>
      <c r="D73" s="1"/>
      <c r="E73" s="1"/>
      <c r="F73" s="1"/>
      <c r="G73" s="1"/>
      <c r="H73" s="1"/>
      <c r="I73" s="15"/>
      <c r="J73" s="15"/>
      <c r="K73" s="1"/>
      <c r="L73" s="1"/>
      <c r="M73" s="1"/>
      <c r="N73" s="1"/>
      <c r="O73" s="1"/>
      <c r="P73" s="1"/>
      <c r="Q73" s="1"/>
      <c r="R73" s="1"/>
      <c r="S73" s="1"/>
      <c r="T73" s="1"/>
      <c r="U73" s="1"/>
      <c r="V73" s="1"/>
      <c r="W73" s="1"/>
      <c r="X73" s="1"/>
      <c r="Y73" s="1"/>
      <c r="Z73" s="1"/>
    </row>
    <row r="74" spans="1:26">
      <c r="A74" s="1"/>
      <c r="B74" s="1"/>
      <c r="C74" s="1"/>
      <c r="D74" s="1"/>
      <c r="E74" s="1"/>
      <c r="F74" s="1"/>
      <c r="G74" s="1"/>
      <c r="H74" s="1"/>
      <c r="I74" s="15"/>
      <c r="J74" s="15"/>
      <c r="K74" s="1"/>
      <c r="L74" s="1"/>
      <c r="M74" s="1"/>
      <c r="N74" s="1"/>
      <c r="O74" s="1"/>
      <c r="P74" s="1"/>
      <c r="Q74" s="1"/>
      <c r="R74" s="1"/>
      <c r="S74" s="1"/>
      <c r="T74" s="1"/>
      <c r="U74" s="1"/>
      <c r="V74" s="1"/>
      <c r="W74" s="1"/>
      <c r="X74" s="1"/>
      <c r="Y74" s="1"/>
      <c r="Z74" s="1"/>
    </row>
    <row r="75" spans="1:26">
      <c r="A75" s="1"/>
      <c r="B75" s="1"/>
      <c r="C75" s="1"/>
      <c r="D75" s="1"/>
      <c r="E75" s="1"/>
      <c r="F75" s="1"/>
      <c r="G75" s="1"/>
      <c r="H75" s="1"/>
      <c r="I75" s="15"/>
      <c r="J75" s="15"/>
      <c r="K75" s="1"/>
      <c r="L75" s="1"/>
      <c r="M75" s="1"/>
      <c r="N75" s="1"/>
      <c r="O75" s="1"/>
      <c r="P75" s="1"/>
      <c r="Q75" s="1"/>
      <c r="R75" s="1"/>
      <c r="S75" s="1"/>
      <c r="T75" s="1"/>
      <c r="U75" s="1"/>
      <c r="V75" s="1"/>
      <c r="W75" s="1"/>
      <c r="X75" s="1"/>
      <c r="Y75" s="1"/>
      <c r="Z75" s="1"/>
    </row>
    <row r="76" spans="1:26">
      <c r="A76" s="1"/>
      <c r="B76" s="1"/>
      <c r="C76" s="1"/>
      <c r="D76" s="1"/>
      <c r="E76" s="1"/>
      <c r="F76" s="1"/>
      <c r="G76" s="1"/>
      <c r="H76" s="1"/>
      <c r="I76" s="15"/>
      <c r="J76" s="15"/>
      <c r="K76" s="1"/>
      <c r="L76" s="1"/>
      <c r="M76" s="1"/>
      <c r="N76" s="1"/>
      <c r="O76" s="1"/>
      <c r="P76" s="1"/>
      <c r="Q76" s="1"/>
      <c r="R76" s="1"/>
      <c r="S76" s="1"/>
      <c r="T76" s="1"/>
      <c r="U76" s="1"/>
      <c r="V76" s="1"/>
      <c r="W76" s="1"/>
      <c r="X76" s="1"/>
      <c r="Y76" s="1"/>
      <c r="Z76" s="1"/>
    </row>
    <row r="77" spans="1:26">
      <c r="A77" s="1"/>
      <c r="B77" s="1"/>
      <c r="C77" s="1"/>
      <c r="D77" s="1"/>
      <c r="E77" s="1"/>
      <c r="F77" s="1"/>
      <c r="G77" s="1"/>
      <c r="H77" s="1"/>
      <c r="I77" s="15"/>
      <c r="J77" s="15"/>
      <c r="K77" s="1"/>
      <c r="L77" s="1"/>
      <c r="M77" s="1"/>
      <c r="N77" s="1"/>
      <c r="O77" s="1"/>
      <c r="P77" s="1"/>
      <c r="Q77" s="1"/>
      <c r="R77" s="1"/>
      <c r="S77" s="1"/>
      <c r="T77" s="1"/>
      <c r="U77" s="1"/>
      <c r="V77" s="1"/>
      <c r="W77" s="1"/>
      <c r="X77" s="1"/>
      <c r="Y77" s="1"/>
      <c r="Z77" s="1"/>
    </row>
    <row r="78" spans="1:26">
      <c r="A78" s="1"/>
      <c r="B78" s="1"/>
      <c r="C78" s="1"/>
      <c r="D78" s="1"/>
      <c r="E78" s="1"/>
      <c r="F78" s="1"/>
      <c r="G78" s="1"/>
      <c r="H78" s="1"/>
      <c r="I78" s="15"/>
      <c r="J78" s="15"/>
      <c r="K78" s="1"/>
      <c r="L78" s="1"/>
      <c r="M78" s="1"/>
      <c r="N78" s="1"/>
      <c r="O78" s="1"/>
      <c r="P78" s="1"/>
      <c r="Q78" s="1"/>
      <c r="R78" s="1"/>
      <c r="S78" s="1"/>
      <c r="T78" s="1"/>
      <c r="U78" s="1"/>
      <c r="V78" s="1"/>
      <c r="W78" s="1"/>
      <c r="X78" s="1"/>
      <c r="Y78" s="1"/>
      <c r="Z78" s="1"/>
    </row>
    <row r="79" spans="1:26">
      <c r="A79" s="1"/>
      <c r="B79" s="1"/>
      <c r="C79" s="1"/>
      <c r="D79" s="1"/>
      <c r="E79" s="1"/>
      <c r="F79" s="1"/>
      <c r="G79" s="1"/>
      <c r="H79" s="1"/>
      <c r="I79" s="15"/>
      <c r="J79" s="15"/>
      <c r="K79" s="1"/>
      <c r="L79" s="1"/>
      <c r="M79" s="1"/>
      <c r="N79" s="1"/>
      <c r="O79" s="1"/>
      <c r="P79" s="1"/>
      <c r="Q79" s="1"/>
      <c r="R79" s="1"/>
      <c r="S79" s="1"/>
      <c r="T79" s="1"/>
      <c r="U79" s="1"/>
      <c r="V79" s="1"/>
      <c r="W79" s="1"/>
      <c r="X79" s="1"/>
      <c r="Y79" s="1"/>
      <c r="Z79" s="1"/>
    </row>
    <row r="80" spans="1:26">
      <c r="A80" s="1"/>
      <c r="B80" s="1"/>
      <c r="C80" s="1"/>
      <c r="D80" s="1"/>
      <c r="E80" s="1"/>
      <c r="F80" s="1"/>
      <c r="G80" s="1"/>
      <c r="H80" s="1"/>
      <c r="I80" s="15"/>
      <c r="J80" s="15"/>
      <c r="K80" s="1"/>
      <c r="L80" s="1"/>
      <c r="M80" s="1"/>
      <c r="N80" s="1"/>
      <c r="O80" s="1"/>
      <c r="P80" s="1"/>
      <c r="Q80" s="1"/>
      <c r="R80" s="1"/>
      <c r="S80" s="1"/>
      <c r="T80" s="1"/>
      <c r="U80" s="1"/>
      <c r="V80" s="1"/>
      <c r="W80" s="1"/>
      <c r="X80" s="1"/>
      <c r="Y80" s="1"/>
      <c r="Z80" s="1"/>
    </row>
    <row r="81" spans="1:26">
      <c r="A81" s="1"/>
      <c r="B81" s="1"/>
      <c r="C81" s="1"/>
      <c r="D81" s="1"/>
      <c r="E81" s="1"/>
      <c r="F81" s="1"/>
      <c r="G81" s="1"/>
      <c r="H81" s="1"/>
      <c r="I81" s="15"/>
      <c r="J81" s="15"/>
      <c r="K81" s="1"/>
      <c r="L81" s="1"/>
      <c r="M81" s="1"/>
      <c r="N81" s="1"/>
      <c r="O81" s="1"/>
      <c r="P81" s="1"/>
      <c r="Q81" s="1"/>
      <c r="R81" s="1"/>
      <c r="S81" s="1"/>
      <c r="T81" s="1"/>
      <c r="U81" s="1"/>
      <c r="V81" s="1"/>
      <c r="W81" s="1"/>
      <c r="X81" s="1"/>
      <c r="Y81" s="1"/>
      <c r="Z81" s="1"/>
    </row>
    <row r="82" spans="1:26">
      <c r="A82" s="1"/>
      <c r="B82" s="1"/>
      <c r="C82" s="1"/>
      <c r="D82" s="1"/>
      <c r="E82" s="1"/>
      <c r="F82" s="1"/>
      <c r="G82" s="1"/>
      <c r="H82" s="1"/>
      <c r="I82" s="15"/>
      <c r="J82" s="15"/>
      <c r="K82" s="1"/>
      <c r="L82" s="1"/>
      <c r="M82" s="1"/>
      <c r="N82" s="1"/>
      <c r="O82" s="1"/>
      <c r="P82" s="1"/>
      <c r="Q82" s="1"/>
      <c r="R82" s="1"/>
      <c r="S82" s="1"/>
      <c r="T82" s="1"/>
      <c r="U82" s="1"/>
      <c r="V82" s="1"/>
      <c r="W82" s="1"/>
      <c r="X82" s="1"/>
      <c r="Y82" s="1"/>
      <c r="Z82" s="1"/>
    </row>
    <row r="83" spans="1:26">
      <c r="A83" s="1"/>
      <c r="B83" s="1"/>
      <c r="C83" s="1"/>
      <c r="D83" s="1"/>
      <c r="E83" s="1"/>
      <c r="F83" s="1"/>
      <c r="G83" s="1"/>
      <c r="H83" s="1"/>
      <c r="I83" s="15"/>
      <c r="J83" s="15"/>
      <c r="K83" s="1"/>
      <c r="L83" s="1"/>
      <c r="M83" s="1"/>
      <c r="N83" s="1"/>
      <c r="O83" s="1"/>
      <c r="P83" s="1"/>
      <c r="Q83" s="1"/>
      <c r="R83" s="1"/>
      <c r="S83" s="1"/>
      <c r="T83" s="1"/>
      <c r="U83" s="1"/>
      <c r="V83" s="1"/>
      <c r="W83" s="1"/>
      <c r="X83" s="1"/>
      <c r="Y83" s="1"/>
      <c r="Z83" s="1"/>
    </row>
    <row r="84" spans="1:26">
      <c r="A84" s="1"/>
      <c r="B84" s="1"/>
      <c r="C84" s="1"/>
      <c r="D84" s="1"/>
      <c r="E84" s="1"/>
      <c r="F84" s="1"/>
      <c r="G84" s="1"/>
      <c r="H84" s="1"/>
      <c r="I84" s="15"/>
      <c r="J84" s="15"/>
      <c r="K84" s="1"/>
      <c r="L84" s="1"/>
      <c r="M84" s="1"/>
      <c r="N84" s="1"/>
      <c r="O84" s="1"/>
      <c r="P84" s="1"/>
      <c r="Q84" s="1"/>
      <c r="R84" s="1"/>
      <c r="S84" s="1"/>
      <c r="T84" s="1"/>
      <c r="U84" s="1"/>
      <c r="V84" s="1"/>
      <c r="W84" s="1"/>
      <c r="X84" s="1"/>
      <c r="Y84" s="1"/>
      <c r="Z84" s="1"/>
    </row>
    <row r="85" spans="1:26">
      <c r="A85" s="1"/>
      <c r="B85" s="1"/>
      <c r="C85" s="1"/>
      <c r="D85" s="1"/>
      <c r="E85" s="1"/>
      <c r="F85" s="1"/>
      <c r="G85" s="1"/>
      <c r="H85" s="1"/>
      <c r="I85" s="15"/>
      <c r="J85" s="15"/>
      <c r="K85" s="1"/>
      <c r="L85" s="1"/>
      <c r="M85" s="1"/>
      <c r="N85" s="1"/>
      <c r="O85" s="1"/>
      <c r="P85" s="1"/>
      <c r="Q85" s="1"/>
      <c r="R85" s="1"/>
      <c r="S85" s="1"/>
      <c r="T85" s="1"/>
      <c r="U85" s="1"/>
      <c r="V85" s="1"/>
      <c r="W85" s="1"/>
      <c r="X85" s="1"/>
      <c r="Y85" s="1"/>
      <c r="Z85" s="1"/>
    </row>
    <row r="86" spans="1:26">
      <c r="A86" s="1"/>
      <c r="B86" s="1"/>
      <c r="C86" s="1"/>
      <c r="D86" s="1"/>
      <c r="E86" s="1"/>
      <c r="F86" s="1"/>
      <c r="G86" s="1"/>
      <c r="H86" s="1"/>
      <c r="I86" s="15"/>
      <c r="J86" s="15"/>
      <c r="K86" s="1"/>
      <c r="L86" s="1"/>
      <c r="M86" s="1"/>
      <c r="N86" s="1"/>
      <c r="O86" s="1"/>
      <c r="P86" s="1"/>
      <c r="Q86" s="1"/>
      <c r="R86" s="1"/>
      <c r="S86" s="1"/>
      <c r="T86" s="1"/>
      <c r="U86" s="1"/>
      <c r="V86" s="1"/>
      <c r="W86" s="1"/>
      <c r="X86" s="1"/>
      <c r="Y86" s="1"/>
      <c r="Z86" s="1"/>
    </row>
    <row r="87" spans="1:26">
      <c r="A87" s="1"/>
      <c r="B87" s="1"/>
      <c r="C87" s="1"/>
      <c r="D87" s="1"/>
      <c r="E87" s="1"/>
      <c r="F87" s="1"/>
      <c r="G87" s="1"/>
      <c r="H87" s="1"/>
      <c r="I87" s="15"/>
      <c r="J87" s="15"/>
      <c r="K87" s="1"/>
      <c r="L87" s="1"/>
      <c r="M87" s="1"/>
      <c r="N87" s="1"/>
      <c r="O87" s="1"/>
      <c r="P87" s="1"/>
      <c r="Q87" s="1"/>
      <c r="R87" s="1"/>
      <c r="S87" s="1"/>
      <c r="T87" s="1"/>
      <c r="U87" s="1"/>
      <c r="V87" s="1"/>
      <c r="W87" s="1"/>
      <c r="X87" s="1"/>
      <c r="Y87" s="1"/>
      <c r="Z87" s="1"/>
    </row>
    <row r="88" spans="1:26">
      <c r="A88" s="1"/>
      <c r="B88" s="1"/>
      <c r="C88" s="1"/>
      <c r="D88" s="1"/>
      <c r="E88" s="1"/>
      <c r="F88" s="1"/>
      <c r="G88" s="1"/>
      <c r="H88" s="1"/>
      <c r="I88" s="15"/>
      <c r="J88" s="15"/>
      <c r="K88" s="1"/>
      <c r="L88" s="1"/>
      <c r="M88" s="1"/>
      <c r="N88" s="1"/>
      <c r="O88" s="1"/>
      <c r="P88" s="1"/>
      <c r="Q88" s="1"/>
      <c r="R88" s="1"/>
      <c r="S88" s="1"/>
      <c r="T88" s="1"/>
      <c r="U88" s="1"/>
      <c r="V88" s="1"/>
      <c r="W88" s="1"/>
      <c r="X88" s="1"/>
      <c r="Y88" s="1"/>
      <c r="Z88" s="1"/>
    </row>
    <row r="89" spans="1:26">
      <c r="A89" s="1"/>
      <c r="B89" s="1"/>
      <c r="C89" s="1"/>
      <c r="D89" s="1"/>
      <c r="E89" s="1"/>
      <c r="F89" s="1"/>
      <c r="G89" s="1"/>
      <c r="H89" s="1"/>
      <c r="I89" s="15"/>
      <c r="J89" s="15"/>
      <c r="K89" s="1"/>
      <c r="L89" s="1"/>
      <c r="M89" s="1"/>
      <c r="N89" s="1"/>
      <c r="O89" s="1"/>
      <c r="P89" s="1"/>
      <c r="Q89" s="1"/>
      <c r="R89" s="1"/>
      <c r="S89" s="1"/>
      <c r="T89" s="1"/>
      <c r="U89" s="1"/>
      <c r="V89" s="1"/>
      <c r="W89" s="1"/>
      <c r="X89" s="1"/>
      <c r="Y89" s="1"/>
      <c r="Z89" s="1"/>
    </row>
    <row r="90" spans="1:26">
      <c r="A90" s="1"/>
      <c r="B90" s="1"/>
      <c r="C90" s="1"/>
      <c r="D90" s="1"/>
      <c r="E90" s="1"/>
      <c r="F90" s="1"/>
      <c r="G90" s="1"/>
      <c r="H90" s="1"/>
      <c r="I90" s="15"/>
      <c r="J90" s="15"/>
      <c r="K90" s="1"/>
      <c r="L90" s="1"/>
      <c r="M90" s="1"/>
      <c r="N90" s="1"/>
      <c r="O90" s="1"/>
      <c r="P90" s="1"/>
      <c r="Q90" s="1"/>
      <c r="R90" s="1"/>
      <c r="S90" s="1"/>
      <c r="T90" s="1"/>
      <c r="U90" s="1"/>
      <c r="V90" s="1"/>
      <c r="W90" s="1"/>
      <c r="X90" s="1"/>
      <c r="Y90" s="1"/>
      <c r="Z90" s="1"/>
    </row>
    <row r="91" spans="1:26">
      <c r="A91" s="1"/>
      <c r="B91" s="1"/>
      <c r="C91" s="1"/>
      <c r="D91" s="1"/>
      <c r="E91" s="1"/>
      <c r="F91" s="1"/>
      <c r="G91" s="1"/>
      <c r="H91" s="1"/>
      <c r="I91" s="15"/>
      <c r="J91" s="15"/>
      <c r="K91" s="1"/>
      <c r="L91" s="1"/>
      <c r="M91" s="1"/>
      <c r="N91" s="1"/>
      <c r="O91" s="1"/>
      <c r="P91" s="1"/>
      <c r="Q91" s="1"/>
      <c r="R91" s="1"/>
      <c r="S91" s="1"/>
      <c r="T91" s="1"/>
      <c r="U91" s="1"/>
      <c r="V91" s="1"/>
      <c r="W91" s="1"/>
      <c r="X91" s="1"/>
      <c r="Y91" s="1"/>
      <c r="Z91" s="1"/>
    </row>
    <row r="92" spans="1:26">
      <c r="A92" s="1"/>
      <c r="B92" s="1"/>
      <c r="C92" s="1"/>
      <c r="D92" s="1"/>
      <c r="E92" s="1"/>
      <c r="F92" s="1"/>
      <c r="G92" s="1"/>
      <c r="H92" s="1"/>
      <c r="I92" s="15"/>
      <c r="J92" s="15"/>
      <c r="K92" s="1"/>
      <c r="L92" s="1"/>
      <c r="M92" s="1"/>
      <c r="N92" s="1"/>
      <c r="O92" s="1"/>
      <c r="P92" s="1"/>
      <c r="Q92" s="1"/>
      <c r="R92" s="1"/>
      <c r="S92" s="1"/>
      <c r="T92" s="1"/>
      <c r="U92" s="1"/>
      <c r="V92" s="1"/>
      <c r="W92" s="1"/>
      <c r="X92" s="1"/>
      <c r="Y92" s="1"/>
      <c r="Z92" s="1"/>
    </row>
    <row r="93" spans="1:26">
      <c r="A93" s="1"/>
      <c r="B93" s="1"/>
      <c r="C93" s="1"/>
      <c r="D93" s="1"/>
      <c r="E93" s="1"/>
      <c r="F93" s="1"/>
      <c r="G93" s="1"/>
      <c r="H93" s="1"/>
      <c r="I93" s="15"/>
      <c r="J93" s="15"/>
      <c r="K93" s="1"/>
      <c r="L93" s="1"/>
      <c r="M93" s="1"/>
      <c r="N93" s="1"/>
      <c r="O93" s="1"/>
      <c r="P93" s="1"/>
      <c r="Q93" s="1"/>
      <c r="R93" s="1"/>
      <c r="S93" s="1"/>
      <c r="T93" s="1"/>
      <c r="U93" s="1"/>
      <c r="V93" s="1"/>
      <c r="W93" s="1"/>
      <c r="X93" s="1"/>
      <c r="Y93" s="1"/>
      <c r="Z93" s="1"/>
    </row>
    <row r="94" spans="1:26">
      <c r="A94" s="1"/>
      <c r="B94" s="1"/>
      <c r="C94" s="1"/>
      <c r="D94" s="1"/>
      <c r="E94" s="1"/>
      <c r="F94" s="1"/>
      <c r="G94" s="1"/>
      <c r="H94" s="1"/>
      <c r="I94" s="15"/>
      <c r="J94" s="15"/>
      <c r="K94" s="1"/>
      <c r="L94" s="1"/>
      <c r="M94" s="1"/>
      <c r="N94" s="1"/>
      <c r="O94" s="1"/>
      <c r="P94" s="1"/>
      <c r="Q94" s="1"/>
      <c r="R94" s="1"/>
      <c r="S94" s="1"/>
      <c r="T94" s="1"/>
      <c r="U94" s="1"/>
      <c r="V94" s="1"/>
      <c r="W94" s="1"/>
      <c r="X94" s="1"/>
      <c r="Y94" s="1"/>
      <c r="Z94" s="1"/>
    </row>
    <row r="95" spans="1:26">
      <c r="A95" s="1"/>
      <c r="B95" s="1"/>
      <c r="C95" s="1"/>
      <c r="D95" s="1"/>
      <c r="E95" s="1"/>
      <c r="F95" s="1"/>
      <c r="G95" s="1"/>
      <c r="H95" s="1"/>
      <c r="I95" s="15"/>
      <c r="J95" s="15"/>
      <c r="K95" s="1"/>
      <c r="L95" s="1"/>
      <c r="M95" s="1"/>
      <c r="N95" s="1"/>
      <c r="O95" s="1"/>
      <c r="P95" s="1"/>
      <c r="Q95" s="1"/>
      <c r="R95" s="1"/>
      <c r="S95" s="1"/>
      <c r="T95" s="1"/>
      <c r="U95" s="1"/>
      <c r="V95" s="1"/>
      <c r="W95" s="1"/>
      <c r="X95" s="1"/>
      <c r="Y95" s="1"/>
      <c r="Z95" s="1"/>
    </row>
    <row r="96" spans="1:26">
      <c r="A96" s="1"/>
      <c r="B96" s="1"/>
      <c r="C96" s="1"/>
      <c r="D96" s="1"/>
      <c r="E96" s="1"/>
      <c r="F96" s="1"/>
      <c r="G96" s="1"/>
      <c r="H96" s="1"/>
      <c r="I96" s="15"/>
      <c r="J96" s="15"/>
      <c r="K96" s="1"/>
      <c r="L96" s="1"/>
      <c r="M96" s="1"/>
      <c r="N96" s="1"/>
      <c r="O96" s="1"/>
      <c r="P96" s="1"/>
      <c r="Q96" s="1"/>
      <c r="R96" s="1"/>
      <c r="S96" s="1"/>
      <c r="T96" s="1"/>
      <c r="U96" s="1"/>
      <c r="V96" s="1"/>
      <c r="W96" s="1"/>
      <c r="X96" s="1"/>
      <c r="Y96" s="1"/>
      <c r="Z96" s="1"/>
    </row>
    <row r="97" spans="1:26">
      <c r="A97" s="1"/>
      <c r="B97" s="1"/>
      <c r="C97" s="1"/>
      <c r="D97" s="1"/>
      <c r="E97" s="1"/>
      <c r="F97" s="1"/>
      <c r="G97" s="1"/>
      <c r="H97" s="1"/>
      <c r="I97" s="15"/>
      <c r="J97" s="15"/>
      <c r="K97" s="1"/>
      <c r="L97" s="1"/>
      <c r="M97" s="1"/>
      <c r="N97" s="1"/>
      <c r="O97" s="1"/>
      <c r="P97" s="1"/>
      <c r="Q97" s="1"/>
      <c r="R97" s="1"/>
      <c r="S97" s="1"/>
      <c r="T97" s="1"/>
      <c r="U97" s="1"/>
      <c r="V97" s="1"/>
      <c r="W97" s="1"/>
      <c r="X97" s="1"/>
      <c r="Y97" s="1"/>
      <c r="Z97" s="1"/>
    </row>
    <row r="98" spans="1:26">
      <c r="A98" s="1"/>
      <c r="B98" s="1"/>
      <c r="C98" s="1"/>
      <c r="D98" s="1"/>
      <c r="E98" s="1"/>
      <c r="F98" s="1"/>
      <c r="G98" s="1"/>
      <c r="H98" s="1"/>
      <c r="I98" s="15"/>
      <c r="J98" s="15"/>
      <c r="K98" s="1"/>
      <c r="L98" s="1"/>
      <c r="M98" s="1"/>
      <c r="N98" s="1"/>
      <c r="O98" s="1"/>
      <c r="P98" s="1"/>
      <c r="Q98" s="1"/>
      <c r="R98" s="1"/>
      <c r="S98" s="1"/>
      <c r="T98" s="1"/>
      <c r="U98" s="1"/>
      <c r="V98" s="1"/>
      <c r="W98" s="1"/>
      <c r="X98" s="1"/>
      <c r="Y98" s="1"/>
      <c r="Z98" s="1"/>
    </row>
    <row r="99" spans="1:26">
      <c r="A99" s="1"/>
      <c r="B99" s="1"/>
      <c r="C99" s="1"/>
      <c r="D99" s="1"/>
      <c r="E99" s="1"/>
      <c r="F99" s="1"/>
      <c r="G99" s="1"/>
      <c r="H99" s="1"/>
      <c r="I99" s="15"/>
      <c r="J99" s="15"/>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5"/>
      <c r="J100" s="15"/>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5"/>
      <c r="J101" s="15"/>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5"/>
      <c r="J102" s="15"/>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5"/>
      <c r="J103" s="15"/>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5"/>
      <c r="J104" s="15"/>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5"/>
      <c r="J105" s="15"/>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5"/>
      <c r="J106" s="15"/>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5"/>
      <c r="J107" s="15"/>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5"/>
      <c r="J108" s="15"/>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5"/>
      <c r="J109" s="15"/>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5"/>
      <c r="J110" s="15"/>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5"/>
      <c r="J111" s="15"/>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5"/>
      <c r="J112" s="15"/>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5"/>
      <c r="J113" s="15"/>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5"/>
      <c r="J114" s="15"/>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5"/>
      <c r="J115" s="15"/>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5"/>
      <c r="J116" s="15"/>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5"/>
      <c r="J117" s="15"/>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5"/>
      <c r="J118" s="15"/>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5"/>
      <c r="J119" s="15"/>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5"/>
      <c r="J120" s="15"/>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5"/>
      <c r="J121" s="15"/>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5"/>
      <c r="J122" s="15"/>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5"/>
      <c r="J123" s="15"/>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5"/>
      <c r="J124" s="15"/>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5"/>
      <c r="J125" s="15"/>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5"/>
      <c r="J126" s="15"/>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5"/>
      <c r="J127" s="15"/>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5"/>
      <c r="J128" s="15"/>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5"/>
      <c r="J129" s="15"/>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5"/>
      <c r="J130" s="15"/>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5"/>
      <c r="J131" s="15"/>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5"/>
      <c r="J132" s="15"/>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5"/>
      <c r="J133" s="15"/>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5"/>
      <c r="J134" s="15"/>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5"/>
      <c r="J135" s="15"/>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5"/>
      <c r="J136" s="15"/>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5"/>
      <c r="J137" s="15"/>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5"/>
      <c r="J138" s="15"/>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5"/>
      <c r="J139" s="15"/>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5"/>
      <c r="J140" s="15"/>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5"/>
      <c r="J141" s="15"/>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5"/>
      <c r="J142" s="15"/>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5"/>
      <c r="J143" s="15"/>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5"/>
      <c r="J144" s="15"/>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5"/>
      <c r="J145" s="15"/>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5"/>
      <c r="J146" s="15"/>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5"/>
      <c r="J147" s="15"/>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5"/>
      <c r="J148" s="15"/>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5"/>
      <c r="J149" s="15"/>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5"/>
      <c r="J150" s="15"/>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5"/>
      <c r="J151" s="15"/>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5"/>
      <c r="J152" s="15"/>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5"/>
      <c r="J153" s="15"/>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5"/>
      <c r="J154" s="15"/>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5"/>
      <c r="J155" s="15"/>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5"/>
      <c r="J156" s="15"/>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5"/>
      <c r="J157" s="15"/>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5"/>
      <c r="J158" s="15"/>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5"/>
      <c r="J159" s="15"/>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5"/>
      <c r="J160" s="15"/>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5"/>
      <c r="J161" s="15"/>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5"/>
      <c r="J162" s="15"/>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5"/>
      <c r="J163" s="15"/>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5"/>
      <c r="J164" s="15"/>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5"/>
      <c r="J165" s="15"/>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5"/>
      <c r="J166" s="15"/>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5"/>
      <c r="J167" s="15"/>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5"/>
      <c r="J168" s="15"/>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5"/>
      <c r="J169" s="15"/>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5"/>
      <c r="J170" s="15"/>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5"/>
      <c r="J171" s="15"/>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5"/>
      <c r="J172" s="15"/>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5"/>
      <c r="J173" s="15"/>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5"/>
      <c r="J174" s="15"/>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5"/>
      <c r="J175" s="15"/>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5"/>
      <c r="J176" s="15"/>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5"/>
      <c r="J177" s="15"/>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5"/>
      <c r="J178" s="15"/>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5"/>
      <c r="J179" s="15"/>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5"/>
      <c r="J180" s="15"/>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5"/>
      <c r="J181" s="15"/>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5"/>
      <c r="J182" s="15"/>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5"/>
      <c r="J183" s="15"/>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5"/>
      <c r="J184" s="15"/>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5"/>
      <c r="J185" s="15"/>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5"/>
      <c r="J186" s="15"/>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5"/>
      <c r="J187" s="15"/>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5"/>
      <c r="J188" s="15"/>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5"/>
      <c r="J189" s="15"/>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5"/>
      <c r="J190" s="15"/>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5"/>
      <c r="J191" s="15"/>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5"/>
      <c r="J192" s="15"/>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5"/>
      <c r="J193" s="15"/>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5"/>
      <c r="J194" s="15"/>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5"/>
      <c r="J195" s="15"/>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5"/>
      <c r="J196" s="15"/>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5"/>
      <c r="J197" s="15"/>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5"/>
      <c r="J198" s="15"/>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5"/>
      <c r="J199" s="15"/>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5"/>
      <c r="J200" s="15"/>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5"/>
      <c r="J201" s="15"/>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5"/>
      <c r="J202" s="15"/>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5"/>
      <c r="J203" s="15"/>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5"/>
      <c r="J204" s="15"/>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5"/>
      <c r="J205" s="15"/>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5"/>
      <c r="J206" s="15"/>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5"/>
      <c r="J207" s="15"/>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5"/>
      <c r="J208" s="15"/>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5"/>
      <c r="J209" s="15"/>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5"/>
      <c r="J210" s="15"/>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5"/>
      <c r="J211" s="15"/>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5"/>
      <c r="J212" s="15"/>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5"/>
      <c r="J213" s="15"/>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5"/>
      <c r="J214" s="15"/>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5"/>
      <c r="J215" s="15"/>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5"/>
      <c r="J216" s="15"/>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5"/>
      <c r="J217" s="15"/>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5"/>
      <c r="J218" s="15"/>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5"/>
      <c r="J219" s="15"/>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5"/>
      <c r="J220" s="15"/>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5"/>
      <c r="J221" s="15"/>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5"/>
      <c r="J222" s="15"/>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5"/>
      <c r="J223" s="15"/>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5"/>
      <c r="J224" s="15"/>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5"/>
      <c r="J225" s="15"/>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5"/>
      <c r="J226" s="15"/>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5"/>
      <c r="J227" s="15"/>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5"/>
      <c r="J228" s="15"/>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5"/>
      <c r="J229" s="15"/>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5"/>
      <c r="J230" s="15"/>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5"/>
      <c r="J231" s="15"/>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5"/>
      <c r="J232" s="15"/>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5"/>
      <c r="J233" s="15"/>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5"/>
      <c r="J234" s="15"/>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5"/>
      <c r="J235" s="15"/>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5"/>
      <c r="J236" s="15"/>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5"/>
      <c r="J237" s="15"/>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5"/>
      <c r="J238" s="15"/>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5"/>
      <c r="J239" s="15"/>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5"/>
      <c r="J240" s="15"/>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5"/>
      <c r="J241" s="15"/>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5"/>
      <c r="J242" s="15"/>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5"/>
      <c r="J243" s="15"/>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5"/>
      <c r="J244" s="15"/>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5"/>
      <c r="J245" s="15"/>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5"/>
      <c r="J246" s="15"/>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5"/>
      <c r="J247" s="15"/>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5"/>
      <c r="J248" s="15"/>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5"/>
      <c r="J249" s="15"/>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5"/>
      <c r="J250" s="15"/>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5"/>
      <c r="J251" s="15"/>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5"/>
      <c r="J252" s="15"/>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5"/>
      <c r="J253" s="15"/>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5"/>
      <c r="J254" s="15"/>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5"/>
      <c r="J255" s="15"/>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5"/>
      <c r="J256" s="15"/>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5"/>
      <c r="J257" s="15"/>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5"/>
      <c r="J258" s="15"/>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5"/>
      <c r="J259" s="15"/>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5"/>
      <c r="J260" s="15"/>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5"/>
      <c r="J261" s="15"/>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5"/>
      <c r="J262" s="15"/>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5"/>
      <c r="J263" s="15"/>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5"/>
      <c r="J264" s="15"/>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5"/>
      <c r="J265" s="15"/>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5"/>
      <c r="J266" s="15"/>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5"/>
      <c r="J267" s="15"/>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5"/>
      <c r="J268" s="15"/>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5"/>
      <c r="J269" s="15"/>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5"/>
      <c r="J270" s="15"/>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5"/>
      <c r="J271" s="15"/>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5"/>
      <c r="J272" s="15"/>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5"/>
      <c r="J273" s="15"/>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5"/>
      <c r="J274" s="15"/>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5"/>
      <c r="J275" s="15"/>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5"/>
      <c r="J276" s="15"/>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5"/>
      <c r="J277" s="15"/>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5"/>
      <c r="J278" s="15"/>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5"/>
      <c r="J279" s="15"/>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5"/>
      <c r="J280" s="15"/>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5"/>
      <c r="J281" s="15"/>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5"/>
      <c r="J282" s="15"/>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5"/>
      <c r="J283" s="15"/>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5"/>
      <c r="J284" s="15"/>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5"/>
      <c r="J285" s="15"/>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5"/>
      <c r="J286" s="15"/>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5"/>
      <c r="J287" s="15"/>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5"/>
      <c r="J288" s="15"/>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5"/>
      <c r="J289" s="15"/>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5"/>
      <c r="J290" s="15"/>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5"/>
      <c r="J291" s="15"/>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5"/>
      <c r="J292" s="15"/>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5"/>
      <c r="J293" s="15"/>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5"/>
      <c r="J294" s="15"/>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5"/>
      <c r="J295" s="15"/>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5"/>
      <c r="J296" s="15"/>
      <c r="K296" s="1"/>
      <c r="L296" s="1"/>
      <c r="M296" s="1"/>
      <c r="N296" s="1"/>
      <c r="O296" s="1"/>
      <c r="P296" s="1"/>
      <c r="Q296" s="1"/>
      <c r="R296" s="1"/>
      <c r="S296" s="1"/>
      <c r="T296" s="1"/>
      <c r="U296" s="1"/>
      <c r="V296" s="1"/>
      <c r="W296" s="1"/>
      <c r="X296" s="1"/>
      <c r="Y296" s="1"/>
      <c r="Z296" s="1"/>
    </row>
  </sheetData>
  <mergeCells count="2">
    <mergeCell ref="A1:L1"/>
    <mergeCell ref="A2:L2"/>
  </mergeCells>
  <conditionalFormatting sqref="H5:H19">
    <cfRule type="expression" dxfId="72" priority="6">
      <formula>H5="Critical"</formula>
    </cfRule>
    <cfRule type="expression" dxfId="71" priority="7">
      <formula>H5="High"</formula>
    </cfRule>
    <cfRule type="expression" dxfId="70" priority="8">
      <formula>H5="Medium"</formula>
    </cfRule>
  </conditionalFormatting>
  <conditionalFormatting sqref="Q5:Q19">
    <cfRule type="expression" dxfId="69" priority="1">
      <formula>ISNUMBER(SEARCH("Delayed",Q5))</formula>
    </cfRule>
    <cfRule type="expression" dxfId="68" priority="2">
      <formula>ISNUMBER(SEARCH("Escalated",Q5))</formula>
    </cfRule>
    <cfRule type="expression" dxfId="67" priority="3">
      <formula>ISNUMBER(SEARCH("Completed",Q5))</formula>
    </cfRule>
    <cfRule type="expression" dxfId="66" priority="4">
      <formula>ISNUMBER(SEARCH("Closed",Q5))</formula>
    </cfRule>
    <cfRule type="expression" dxfId="65" priority="5">
      <formula>ISNUMBER(SEARCH("Information Required",Q5))</formula>
    </cfRule>
  </conditionalFormatting>
  <dataValidations count="2">
    <dataValidation type="list" sqref="Q5:Q19" xr:uid="{00000000-0002-0000-0100-000000000000}">
      <formula1>"Not Started,Planned,Requested,Scheduled,In Progress,Open - verify status,Completed,Closed,Delayed,Escalated,Information Required"</formula1>
    </dataValidation>
    <dataValidation type="list" sqref="H5:H19" xr:uid="{00000000-0002-0000-0100-000001000000}">
      <formula1>"Critical,High,Medium,Low"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D3AA-0AAF-40AB-87C3-0028C5CF41BC}">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96"/>
  <sheetViews>
    <sheetView topLeftCell="A3" zoomScale="70" zoomScaleNormal="70" workbookViewId="0">
      <selection activeCell="D46" sqref="D46"/>
    </sheetView>
  </sheetViews>
  <sheetFormatPr defaultRowHeight="14.25"/>
  <cols>
    <col min="1" max="1" width="6" customWidth="1"/>
    <col min="2" max="2" width="30" customWidth="1"/>
    <col min="3" max="3" width="24" hidden="1" customWidth="1"/>
    <col min="4" max="4" width="15" customWidth="1"/>
    <col min="5" max="5" width="28" hidden="1" customWidth="1"/>
    <col min="6" max="6" width="42" customWidth="1"/>
    <col min="7" max="7" width="45" customWidth="1"/>
    <col min="8" max="8" width="40" customWidth="1"/>
    <col min="9" max="10" width="22" hidden="1" customWidth="1"/>
    <col min="11" max="11" width="18" customWidth="1"/>
    <col min="12" max="12" width="20" hidden="1" customWidth="1"/>
    <col min="13" max="13" width="40" hidden="1" customWidth="1"/>
  </cols>
  <sheetData>
    <row r="1" spans="1:26" ht="27.95" customHeight="1">
      <c r="A1" s="228"/>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230</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231</v>
      </c>
      <c r="B4" s="2" t="s">
        <v>23</v>
      </c>
      <c r="C4" s="2" t="s">
        <v>232</v>
      </c>
      <c r="D4" s="2" t="s">
        <v>233</v>
      </c>
      <c r="E4" s="2" t="s">
        <v>234</v>
      </c>
      <c r="F4" s="2" t="s">
        <v>235</v>
      </c>
      <c r="G4" s="2" t="s">
        <v>236</v>
      </c>
      <c r="H4" s="2" t="s">
        <v>237</v>
      </c>
      <c r="I4" s="2" t="s">
        <v>238</v>
      </c>
      <c r="J4" s="2" t="s">
        <v>239</v>
      </c>
      <c r="K4" s="2" t="s">
        <v>240</v>
      </c>
      <c r="L4" s="2" t="s">
        <v>241</v>
      </c>
      <c r="M4" s="2" t="s">
        <v>242</v>
      </c>
      <c r="N4" s="1"/>
      <c r="O4" s="1"/>
      <c r="P4" s="1"/>
      <c r="Q4" s="1"/>
      <c r="R4" s="1"/>
      <c r="S4" s="1"/>
      <c r="T4" s="1"/>
      <c r="U4" s="1"/>
      <c r="V4" s="1"/>
      <c r="W4" s="1"/>
      <c r="X4" s="1"/>
      <c r="Y4" s="1"/>
      <c r="Z4" s="1"/>
    </row>
    <row r="5" spans="1:26" ht="30" customHeight="1">
      <c r="A5" s="3">
        <v>1</v>
      </c>
      <c r="B5" s="3" t="s">
        <v>243</v>
      </c>
      <c r="C5" s="3" t="s">
        <v>244</v>
      </c>
      <c r="D5" s="4">
        <v>46217</v>
      </c>
      <c r="E5" s="3" t="s">
        <v>245</v>
      </c>
      <c r="F5" s="3" t="s">
        <v>246</v>
      </c>
      <c r="G5" s="3" t="s">
        <v>247</v>
      </c>
      <c r="H5" s="3" t="s">
        <v>248</v>
      </c>
      <c r="I5" s="3" t="s">
        <v>249</v>
      </c>
      <c r="J5" s="3" t="s">
        <v>250</v>
      </c>
      <c r="K5" s="3" t="s">
        <v>68</v>
      </c>
      <c r="L5" s="4">
        <v>46219</v>
      </c>
      <c r="M5" s="3" t="s">
        <v>251</v>
      </c>
      <c r="N5" s="1"/>
      <c r="O5" s="1"/>
      <c r="P5" s="1"/>
      <c r="Q5" s="1"/>
      <c r="R5" s="1"/>
      <c r="S5" s="1"/>
      <c r="T5" s="1"/>
      <c r="U5" s="1"/>
      <c r="V5" s="1"/>
      <c r="W5" s="1"/>
      <c r="X5" s="1"/>
      <c r="Y5" s="1"/>
      <c r="Z5" s="1"/>
    </row>
    <row r="6" spans="1:26" ht="30" customHeight="1">
      <c r="A6" s="3">
        <v>2</v>
      </c>
      <c r="B6" s="3" t="s">
        <v>56</v>
      </c>
      <c r="C6" s="3" t="s">
        <v>252</v>
      </c>
      <c r="D6" s="4">
        <v>46219</v>
      </c>
      <c r="E6" s="3" t="s">
        <v>65</v>
      </c>
      <c r="F6" s="3" t="s">
        <v>253</v>
      </c>
      <c r="G6" s="3" t="s">
        <v>254</v>
      </c>
      <c r="H6" s="3" t="s">
        <v>255</v>
      </c>
      <c r="I6" s="3" t="s">
        <v>63</v>
      </c>
      <c r="J6" s="3" t="s">
        <v>250</v>
      </c>
      <c r="K6" s="3" t="s">
        <v>68</v>
      </c>
      <c r="L6" s="4">
        <v>46224</v>
      </c>
      <c r="M6" s="3" t="s">
        <v>256</v>
      </c>
      <c r="N6" s="1"/>
      <c r="O6" s="1"/>
      <c r="P6" s="1"/>
      <c r="Q6" s="1"/>
      <c r="R6" s="1"/>
      <c r="S6" s="1"/>
      <c r="T6" s="1"/>
      <c r="U6" s="1"/>
      <c r="V6" s="1"/>
      <c r="W6" s="1"/>
      <c r="X6" s="1"/>
      <c r="Y6" s="1"/>
      <c r="Z6" s="1"/>
    </row>
    <row r="7" spans="1:26" ht="30" customHeight="1">
      <c r="A7" s="3">
        <v>3</v>
      </c>
      <c r="B7" s="3" t="s">
        <v>257</v>
      </c>
      <c r="C7" s="3" t="s">
        <v>258</v>
      </c>
      <c r="D7" s="4">
        <v>46223</v>
      </c>
      <c r="E7" s="3" t="s">
        <v>107</v>
      </c>
      <c r="F7" s="3" t="s">
        <v>259</v>
      </c>
      <c r="G7" s="3" t="s">
        <v>260</v>
      </c>
      <c r="H7" s="3" t="s">
        <v>261</v>
      </c>
      <c r="I7" s="3" t="s">
        <v>77</v>
      </c>
      <c r="J7" s="3" t="s">
        <v>77</v>
      </c>
      <c r="K7" s="3" t="s">
        <v>68</v>
      </c>
      <c r="L7" s="4">
        <v>46230</v>
      </c>
      <c r="M7" s="3" t="s">
        <v>262</v>
      </c>
      <c r="N7" s="1"/>
      <c r="O7" s="1"/>
      <c r="P7" s="1"/>
      <c r="Q7" s="1"/>
      <c r="R7" s="1"/>
      <c r="S7" s="1"/>
      <c r="T7" s="1"/>
      <c r="U7" s="1"/>
      <c r="V7" s="1"/>
      <c r="W7" s="1"/>
      <c r="X7" s="1"/>
      <c r="Y7" s="1"/>
      <c r="Z7" s="1"/>
    </row>
    <row r="8" spans="1:26" ht="30" customHeight="1">
      <c r="A8" s="3">
        <v>4</v>
      </c>
      <c r="B8" s="3" t="s">
        <v>263</v>
      </c>
      <c r="C8" s="3" t="s">
        <v>264</v>
      </c>
      <c r="D8" s="4">
        <v>46225</v>
      </c>
      <c r="E8" s="3" t="s">
        <v>265</v>
      </c>
      <c r="F8" s="3" t="s">
        <v>266</v>
      </c>
      <c r="G8" s="3" t="s">
        <v>267</v>
      </c>
      <c r="H8" s="3" t="s">
        <v>268</v>
      </c>
      <c r="I8" s="3" t="s">
        <v>90</v>
      </c>
      <c r="J8" s="3" t="s">
        <v>90</v>
      </c>
      <c r="K8" s="3" t="s">
        <v>68</v>
      </c>
      <c r="L8" s="4">
        <v>46232</v>
      </c>
      <c r="M8" s="3" t="s">
        <v>269</v>
      </c>
      <c r="N8" s="1"/>
      <c r="O8" s="1"/>
      <c r="P8" s="1"/>
      <c r="Q8" s="1"/>
      <c r="R8" s="1"/>
      <c r="S8" s="1"/>
      <c r="T8" s="1"/>
      <c r="U8" s="1"/>
      <c r="V8" s="1"/>
      <c r="W8" s="1"/>
      <c r="X8" s="1"/>
      <c r="Y8" s="1"/>
      <c r="Z8" s="1"/>
    </row>
    <row r="9" spans="1:26" ht="30" customHeight="1">
      <c r="A9" s="3">
        <v>5</v>
      </c>
      <c r="B9" s="3" t="s">
        <v>270</v>
      </c>
      <c r="C9" s="3" t="s">
        <v>271</v>
      </c>
      <c r="D9" s="4">
        <v>46229</v>
      </c>
      <c r="E9" s="3" t="s">
        <v>272</v>
      </c>
      <c r="F9" s="3" t="s">
        <v>273</v>
      </c>
      <c r="G9" s="3" t="s">
        <v>274</v>
      </c>
      <c r="H9" s="3" t="s">
        <v>275</v>
      </c>
      <c r="I9" s="3" t="s">
        <v>105</v>
      </c>
      <c r="J9" s="3" t="s">
        <v>105</v>
      </c>
      <c r="K9" s="3" t="s">
        <v>68</v>
      </c>
      <c r="L9" s="4">
        <v>46236</v>
      </c>
      <c r="M9" s="3" t="s">
        <v>276</v>
      </c>
      <c r="N9" s="1"/>
      <c r="O9" s="1"/>
      <c r="P9" s="1"/>
      <c r="Q9" s="1"/>
      <c r="R9" s="1"/>
      <c r="S9" s="1"/>
      <c r="T9" s="1"/>
      <c r="U9" s="1"/>
      <c r="V9" s="1"/>
      <c r="W9" s="1"/>
      <c r="X9" s="1"/>
      <c r="Y9" s="1"/>
      <c r="Z9" s="1"/>
    </row>
    <row r="10" spans="1:26" ht="30" customHeight="1">
      <c r="A10" s="3">
        <v>6</v>
      </c>
      <c r="B10" s="3" t="s">
        <v>277</v>
      </c>
      <c r="C10" s="3" t="s">
        <v>278</v>
      </c>
      <c r="D10" s="4">
        <v>46231</v>
      </c>
      <c r="E10" s="3" t="s">
        <v>279</v>
      </c>
      <c r="F10" s="3" t="s">
        <v>280</v>
      </c>
      <c r="G10" s="3" t="s">
        <v>281</v>
      </c>
      <c r="H10" s="3" t="s">
        <v>282</v>
      </c>
      <c r="I10" s="3" t="s">
        <v>105</v>
      </c>
      <c r="J10" s="3" t="s">
        <v>250</v>
      </c>
      <c r="K10" s="3" t="s">
        <v>68</v>
      </c>
      <c r="L10" s="4">
        <v>46238</v>
      </c>
      <c r="M10" s="3" t="s">
        <v>283</v>
      </c>
      <c r="N10" s="1"/>
      <c r="O10" s="1"/>
      <c r="P10" s="1"/>
      <c r="Q10" s="1"/>
      <c r="R10" s="1"/>
      <c r="S10" s="1"/>
      <c r="T10" s="1"/>
      <c r="U10" s="1"/>
      <c r="V10" s="1"/>
      <c r="W10" s="1"/>
      <c r="X10" s="1"/>
      <c r="Y10" s="1"/>
      <c r="Z10" s="1"/>
    </row>
    <row r="11" spans="1:26" ht="30" customHeight="1">
      <c r="A11" s="3">
        <v>7</v>
      </c>
      <c r="B11" s="3" t="s">
        <v>136</v>
      </c>
      <c r="C11" s="3" t="s">
        <v>284</v>
      </c>
      <c r="D11" s="4">
        <v>46233</v>
      </c>
      <c r="E11" s="3" t="s">
        <v>144</v>
      </c>
      <c r="F11" s="3" t="s">
        <v>285</v>
      </c>
      <c r="G11" s="3" t="s">
        <v>286</v>
      </c>
      <c r="H11" s="3" t="s">
        <v>287</v>
      </c>
      <c r="I11" s="3" t="s">
        <v>63</v>
      </c>
      <c r="J11" s="3" t="s">
        <v>63</v>
      </c>
      <c r="K11" s="3" t="s">
        <v>68</v>
      </c>
      <c r="L11" s="4">
        <v>46240</v>
      </c>
      <c r="M11" s="3" t="s">
        <v>288</v>
      </c>
      <c r="N11" s="1"/>
      <c r="O11" s="1"/>
      <c r="P11" s="1"/>
      <c r="Q11" s="1"/>
      <c r="R11" s="1"/>
      <c r="S11" s="1"/>
      <c r="T11" s="1"/>
      <c r="U11" s="1"/>
      <c r="V11" s="1"/>
      <c r="W11" s="1"/>
      <c r="X11" s="1"/>
      <c r="Y11" s="1"/>
      <c r="Z11" s="1"/>
    </row>
    <row r="12" spans="1:26" ht="30" customHeight="1">
      <c r="A12" s="3">
        <v>8</v>
      </c>
      <c r="B12" s="3" t="s">
        <v>289</v>
      </c>
      <c r="C12" s="3" t="s">
        <v>290</v>
      </c>
      <c r="D12" s="4">
        <v>46237</v>
      </c>
      <c r="E12" s="3" t="s">
        <v>291</v>
      </c>
      <c r="F12" s="3" t="s">
        <v>292</v>
      </c>
      <c r="G12" s="3" t="s">
        <v>293</v>
      </c>
      <c r="H12" s="3" t="s">
        <v>294</v>
      </c>
      <c r="I12" s="3" t="s">
        <v>130</v>
      </c>
      <c r="J12" s="3" t="s">
        <v>130</v>
      </c>
      <c r="K12" s="3" t="s">
        <v>68</v>
      </c>
      <c r="L12" s="4">
        <v>46244</v>
      </c>
      <c r="M12" s="3" t="s">
        <v>295</v>
      </c>
      <c r="N12" s="1"/>
      <c r="O12" s="1"/>
      <c r="P12" s="1"/>
      <c r="Q12" s="1"/>
      <c r="R12" s="1"/>
      <c r="S12" s="1"/>
      <c r="T12" s="1"/>
      <c r="U12" s="1"/>
      <c r="V12" s="1"/>
      <c r="W12" s="1"/>
      <c r="X12" s="1"/>
      <c r="Y12" s="1"/>
      <c r="Z12" s="1"/>
    </row>
    <row r="13" spans="1:26" ht="30" customHeight="1">
      <c r="A13" s="3">
        <v>9</v>
      </c>
      <c r="B13" s="3" t="s">
        <v>148</v>
      </c>
      <c r="C13" s="3" t="s">
        <v>296</v>
      </c>
      <c r="D13" s="4">
        <v>46239</v>
      </c>
      <c r="E13" s="3" t="s">
        <v>222</v>
      </c>
      <c r="F13" s="3" t="s">
        <v>297</v>
      </c>
      <c r="G13" s="3" t="s">
        <v>298</v>
      </c>
      <c r="H13" s="3" t="s">
        <v>299</v>
      </c>
      <c r="I13" s="3" t="s">
        <v>63</v>
      </c>
      <c r="J13" s="3" t="s">
        <v>105</v>
      </c>
      <c r="K13" s="3" t="s">
        <v>68</v>
      </c>
      <c r="L13" s="4">
        <v>46246</v>
      </c>
      <c r="M13" s="3" t="s">
        <v>300</v>
      </c>
      <c r="N13" s="1"/>
      <c r="O13" s="1"/>
      <c r="P13" s="1"/>
      <c r="Q13" s="1"/>
      <c r="R13" s="1"/>
      <c r="S13" s="1"/>
      <c r="T13" s="1"/>
      <c r="U13" s="1"/>
      <c r="V13" s="1"/>
      <c r="W13" s="1"/>
      <c r="X13" s="1"/>
      <c r="Y13" s="1"/>
      <c r="Z13" s="1"/>
    </row>
    <row r="14" spans="1:26" ht="30" customHeight="1">
      <c r="A14" s="3">
        <v>10</v>
      </c>
      <c r="B14" s="3" t="s">
        <v>301</v>
      </c>
      <c r="C14" s="3" t="s">
        <v>302</v>
      </c>
      <c r="D14" s="4">
        <v>46243</v>
      </c>
      <c r="E14" s="3" t="s">
        <v>171</v>
      </c>
      <c r="F14" s="3" t="s">
        <v>303</v>
      </c>
      <c r="G14" s="3" t="s">
        <v>304</v>
      </c>
      <c r="H14" s="3" t="s">
        <v>305</v>
      </c>
      <c r="I14" s="3" t="s">
        <v>169</v>
      </c>
      <c r="J14" s="3" t="s">
        <v>169</v>
      </c>
      <c r="K14" s="3" t="s">
        <v>68</v>
      </c>
      <c r="L14" s="4">
        <v>46250</v>
      </c>
      <c r="M14" s="3" t="s">
        <v>306</v>
      </c>
      <c r="N14" s="1"/>
      <c r="O14" s="1"/>
      <c r="P14" s="1"/>
      <c r="Q14" s="1"/>
      <c r="R14" s="1"/>
      <c r="S14" s="1"/>
      <c r="T14" s="1"/>
      <c r="U14" s="1"/>
      <c r="V14" s="1"/>
      <c r="W14" s="1"/>
      <c r="X14" s="1"/>
      <c r="Y14" s="1"/>
      <c r="Z14" s="1"/>
    </row>
    <row r="15" spans="1:26" ht="30" customHeight="1">
      <c r="A15" s="3">
        <v>11</v>
      </c>
      <c r="B15" s="3" t="s">
        <v>307</v>
      </c>
      <c r="C15" s="3" t="s">
        <v>308</v>
      </c>
      <c r="D15" s="4">
        <v>46245</v>
      </c>
      <c r="E15" s="3" t="s">
        <v>309</v>
      </c>
      <c r="F15" s="3" t="s">
        <v>310</v>
      </c>
      <c r="G15" s="3" t="s">
        <v>311</v>
      </c>
      <c r="H15" s="3" t="s">
        <v>312</v>
      </c>
      <c r="I15" s="3" t="s">
        <v>313</v>
      </c>
      <c r="J15" s="3" t="s">
        <v>313</v>
      </c>
      <c r="K15" s="3" t="s">
        <v>68</v>
      </c>
      <c r="L15" s="4">
        <v>46252</v>
      </c>
      <c r="M15" s="3" t="s">
        <v>314</v>
      </c>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75" hidden="1">
      <c r="A17" s="222" t="s">
        <v>315</v>
      </c>
      <c r="B17" s="223"/>
      <c r="C17" s="223"/>
      <c r="D17" s="223"/>
      <c r="E17" s="223"/>
      <c r="F17" s="223"/>
      <c r="G17" s="223"/>
      <c r="H17" s="223"/>
      <c r="I17" s="223"/>
      <c r="J17" s="223"/>
      <c r="K17" s="223"/>
      <c r="L17" s="223"/>
      <c r="M17" s="223"/>
      <c r="N17" s="223"/>
      <c r="O17" s="223"/>
      <c r="P17" s="223"/>
      <c r="Q17" s="223"/>
      <c r="R17" s="1"/>
      <c r="S17" s="1"/>
      <c r="T17" s="1"/>
      <c r="U17" s="1"/>
      <c r="V17" s="1"/>
      <c r="W17" s="1"/>
      <c r="X17" s="1"/>
      <c r="Y17" s="1"/>
      <c r="Z17" s="1"/>
    </row>
    <row r="18" spans="1:26" hidden="1">
      <c r="A18" s="231" t="s">
        <v>316</v>
      </c>
      <c r="B18" s="223"/>
      <c r="C18" s="223"/>
      <c r="D18" s="223"/>
      <c r="E18" s="223"/>
      <c r="F18" s="223"/>
      <c r="G18" s="223"/>
      <c r="H18" s="223"/>
      <c r="I18" s="223"/>
      <c r="J18" s="223"/>
      <c r="K18" s="223"/>
      <c r="L18" s="223"/>
      <c r="M18" s="223"/>
      <c r="N18" s="223"/>
      <c r="O18" s="223"/>
      <c r="P18" s="223"/>
      <c r="Q18" s="223"/>
      <c r="R18" s="1"/>
      <c r="S18" s="1"/>
      <c r="T18" s="1"/>
      <c r="U18" s="1"/>
      <c r="V18" s="1"/>
      <c r="W18" s="1"/>
      <c r="X18" s="1"/>
      <c r="Y18" s="1"/>
      <c r="Z18" s="1"/>
    </row>
    <row r="19" spans="1:26" hidden="1">
      <c r="A19" s="224" t="s">
        <v>317</v>
      </c>
      <c r="B19" s="223"/>
      <c r="C19" s="223"/>
      <c r="D19" s="223"/>
      <c r="E19" s="223"/>
      <c r="F19" s="223"/>
      <c r="G19" s="223"/>
      <c r="H19" s="223"/>
      <c r="I19" s="223"/>
      <c r="J19" s="223"/>
      <c r="K19" s="223"/>
      <c r="L19" s="223"/>
      <c r="M19" s="223"/>
      <c r="N19" s="223"/>
      <c r="O19" s="223"/>
      <c r="P19" s="223"/>
      <c r="Q19" s="223"/>
      <c r="R19" s="1"/>
      <c r="S19" s="1"/>
      <c r="T19" s="1"/>
      <c r="U19" s="1"/>
      <c r="V19" s="1"/>
      <c r="W19" s="1"/>
      <c r="X19" s="1"/>
      <c r="Y19" s="1"/>
      <c r="Z19" s="1"/>
    </row>
    <row r="20" spans="1:26" hidden="1">
      <c r="A20" s="225" t="s">
        <v>318</v>
      </c>
      <c r="B20" s="220"/>
      <c r="C20" s="220"/>
      <c r="D20" s="221"/>
      <c r="F20" s="225" t="s">
        <v>319</v>
      </c>
      <c r="G20" s="220"/>
      <c r="H20" s="220"/>
      <c r="I20" s="221"/>
      <c r="K20" s="220"/>
      <c r="L20" s="221"/>
      <c r="N20" s="225" t="s">
        <v>320</v>
      </c>
      <c r="O20" s="220"/>
      <c r="P20" s="220"/>
      <c r="Q20" s="221"/>
      <c r="R20" s="1"/>
      <c r="S20" s="1"/>
      <c r="T20" s="1"/>
      <c r="U20" s="1"/>
      <c r="V20" s="1"/>
      <c r="W20" s="1"/>
      <c r="X20" s="1"/>
      <c r="Y20" s="1"/>
      <c r="Z20" s="1"/>
    </row>
    <row r="21" spans="1:26" hidden="1">
      <c r="A21" s="219">
        <f>COUNTA($D$8:$D$17)</f>
        <v>8</v>
      </c>
      <c r="B21" s="220"/>
      <c r="C21" s="220"/>
      <c r="D21" s="221"/>
      <c r="F21" s="219">
        <v>3</v>
      </c>
      <c r="G21" s="220"/>
      <c r="H21" s="220"/>
      <c r="I21" s="221"/>
      <c r="K21" s="220"/>
      <c r="L21" s="221"/>
      <c r="N21" s="219">
        <v>12</v>
      </c>
      <c r="O21" s="220"/>
      <c r="P21" s="220"/>
      <c r="Q21" s="221"/>
      <c r="R21" s="1"/>
      <c r="S21" s="1"/>
      <c r="T21" s="1"/>
      <c r="U21" s="1"/>
      <c r="V21" s="1"/>
      <c r="W21" s="1"/>
      <c r="X21" s="1"/>
      <c r="Y21" s="1"/>
      <c r="Z21" s="1"/>
    </row>
    <row r="22" spans="1:26" hidden="1">
      <c r="R22" s="1"/>
      <c r="S22" s="1"/>
      <c r="T22" s="1"/>
      <c r="U22" s="1"/>
      <c r="V22" s="1"/>
      <c r="W22" s="1"/>
      <c r="X22" s="1"/>
      <c r="Y22" s="1"/>
      <c r="Z22" s="1"/>
    </row>
    <row r="23" spans="1:26" ht="40.5" hidden="1">
      <c r="A23" s="20" t="s">
        <v>321</v>
      </c>
      <c r="B23" s="20" t="s">
        <v>29</v>
      </c>
      <c r="C23" s="20" t="s">
        <v>322</v>
      </c>
      <c r="D23" s="20" t="s">
        <v>323</v>
      </c>
      <c r="E23" s="20" t="s">
        <v>324</v>
      </c>
      <c r="F23" s="20" t="s">
        <v>325</v>
      </c>
      <c r="G23" s="20" t="s">
        <v>326</v>
      </c>
      <c r="H23" s="20" t="s">
        <v>327</v>
      </c>
      <c r="I23" s="20" t="s">
        <v>328</v>
      </c>
      <c r="J23" s="20" t="s">
        <v>329</v>
      </c>
      <c r="K23" s="20" t="s">
        <v>330</v>
      </c>
      <c r="L23" s="20" t="s">
        <v>331</v>
      </c>
      <c r="M23" s="20" t="s">
        <v>332</v>
      </c>
      <c r="N23" s="20" t="s">
        <v>333</v>
      </c>
      <c r="O23" s="20" t="s">
        <v>240</v>
      </c>
      <c r="P23" s="20" t="s">
        <v>334</v>
      </c>
      <c r="Q23" s="20" t="s">
        <v>335</v>
      </c>
      <c r="R23" s="1"/>
      <c r="S23" s="1"/>
      <c r="T23" s="1"/>
      <c r="U23" s="1"/>
      <c r="V23" s="1"/>
      <c r="W23" s="1"/>
      <c r="X23" s="1"/>
      <c r="Y23" s="1"/>
      <c r="Z23" s="1"/>
    </row>
    <row r="24" spans="1:26" ht="81" hidden="1">
      <c r="A24" s="21">
        <v>1</v>
      </c>
      <c r="B24" s="22" t="s">
        <v>44</v>
      </c>
      <c r="C24" s="22" t="s">
        <v>336</v>
      </c>
      <c r="D24" s="23" t="s">
        <v>337</v>
      </c>
      <c r="E24" s="23" t="s">
        <v>338</v>
      </c>
      <c r="F24" s="23" t="s">
        <v>339</v>
      </c>
      <c r="G24" s="23" t="s">
        <v>340</v>
      </c>
      <c r="H24" s="23" t="s">
        <v>341</v>
      </c>
      <c r="I24" s="22" t="s">
        <v>342</v>
      </c>
      <c r="J24" s="24">
        <v>46217</v>
      </c>
      <c r="K24" s="25">
        <v>46215</v>
      </c>
      <c r="L24" s="25">
        <f t="shared" ref="L24:L33" si="0">IF(ISBLANK($J24),"",WORKDAY($J24,-1))</f>
        <v>46216</v>
      </c>
      <c r="M24" s="25">
        <f t="shared" ref="M24:M33" si="1">IF(ISBLANK($J24),"",WORKDAY($J24,1))</f>
        <v>46218</v>
      </c>
      <c r="N24" s="26" t="s">
        <v>343</v>
      </c>
      <c r="O24" s="26" t="s">
        <v>344</v>
      </c>
      <c r="P24" s="21" t="s">
        <v>345</v>
      </c>
      <c r="Q24" s="23" t="s">
        <v>346</v>
      </c>
      <c r="R24" s="1"/>
      <c r="S24" s="1"/>
      <c r="T24" s="1"/>
      <c r="U24" s="1"/>
      <c r="V24" s="1"/>
      <c r="W24" s="1"/>
      <c r="X24" s="1"/>
      <c r="Y24" s="1"/>
      <c r="Z24" s="1"/>
    </row>
    <row r="25" spans="1:26" ht="94.5" hidden="1">
      <c r="A25" s="21">
        <v>6</v>
      </c>
      <c r="B25" s="22" t="s">
        <v>44</v>
      </c>
      <c r="C25" s="22" t="s">
        <v>347</v>
      </c>
      <c r="D25" s="23" t="s">
        <v>348</v>
      </c>
      <c r="E25" s="23" t="s">
        <v>338</v>
      </c>
      <c r="F25" s="23" t="s">
        <v>349</v>
      </c>
      <c r="G25" s="23" t="s">
        <v>350</v>
      </c>
      <c r="H25" s="23" t="s">
        <v>351</v>
      </c>
      <c r="I25" s="22" t="s">
        <v>352</v>
      </c>
      <c r="J25" s="24">
        <v>46217</v>
      </c>
      <c r="K25" s="25">
        <v>46215</v>
      </c>
      <c r="L25" s="25">
        <f>IF(ISBLANK($J25),"",WORKDAY($J25,-1))</f>
        <v>46216</v>
      </c>
      <c r="M25" s="25">
        <f>IF(ISBLANK($J25),"",WORKDAY($J25,1))</f>
        <v>46218</v>
      </c>
      <c r="N25" s="26" t="s">
        <v>343</v>
      </c>
      <c r="O25" s="26" t="s">
        <v>353</v>
      </c>
      <c r="P25" s="21" t="s">
        <v>345</v>
      </c>
      <c r="Q25" s="23" t="s">
        <v>354</v>
      </c>
      <c r="R25" s="1"/>
      <c r="S25" s="1"/>
      <c r="T25" s="1"/>
      <c r="U25" s="1"/>
      <c r="V25" s="1"/>
      <c r="W25" s="1"/>
      <c r="X25" s="1"/>
      <c r="Y25" s="1"/>
      <c r="Z25" s="1"/>
    </row>
    <row r="26" spans="1:26" ht="108" hidden="1">
      <c r="A26" s="27">
        <v>2</v>
      </c>
      <c r="B26" s="28" t="s">
        <v>44</v>
      </c>
      <c r="C26" s="28" t="s">
        <v>336</v>
      </c>
      <c r="D26" s="29" t="s">
        <v>355</v>
      </c>
      <c r="E26" s="29" t="s">
        <v>356</v>
      </c>
      <c r="F26" s="29" t="s">
        <v>357</v>
      </c>
      <c r="G26" s="29" t="s">
        <v>358</v>
      </c>
      <c r="H26" s="29" t="s">
        <v>359</v>
      </c>
      <c r="I26" s="28" t="s">
        <v>360</v>
      </c>
      <c r="J26" s="30">
        <v>46223</v>
      </c>
      <c r="K26" s="31">
        <v>46219</v>
      </c>
      <c r="L26" s="31">
        <f t="shared" si="0"/>
        <v>46220</v>
      </c>
      <c r="M26" s="31">
        <f t="shared" si="1"/>
        <v>46224</v>
      </c>
      <c r="N26" s="32" t="s">
        <v>343</v>
      </c>
      <c r="O26" s="32" t="s">
        <v>353</v>
      </c>
      <c r="P26" s="27" t="s">
        <v>345</v>
      </c>
      <c r="Q26" s="29" t="s">
        <v>361</v>
      </c>
      <c r="R26" s="1"/>
      <c r="S26" s="1"/>
      <c r="T26" s="1"/>
      <c r="U26" s="1"/>
      <c r="V26" s="1"/>
      <c r="W26" s="1"/>
      <c r="X26" s="1"/>
      <c r="Y26" s="1"/>
      <c r="Z26" s="1"/>
    </row>
    <row r="27" spans="1:26" ht="108" hidden="1">
      <c r="A27" s="27">
        <v>3</v>
      </c>
      <c r="B27" s="33" t="s">
        <v>101</v>
      </c>
      <c r="C27" s="28" t="s">
        <v>336</v>
      </c>
      <c r="D27" s="29" t="s">
        <v>362</v>
      </c>
      <c r="E27" s="29" t="s">
        <v>363</v>
      </c>
      <c r="F27" s="29" t="s">
        <v>364</v>
      </c>
      <c r="G27" s="29" t="s">
        <v>365</v>
      </c>
      <c r="H27" s="29" t="s">
        <v>366</v>
      </c>
      <c r="I27" s="28" t="s">
        <v>360</v>
      </c>
      <c r="J27" s="30">
        <v>46223</v>
      </c>
      <c r="K27" s="31">
        <v>46219</v>
      </c>
      <c r="L27" s="31">
        <f>IF(ISBLANK($J27),"",WORKDAY($J27,-1))</f>
        <v>46220</v>
      </c>
      <c r="M27" s="31">
        <f>IF(ISBLANK($J27),"",WORKDAY($J27,1))</f>
        <v>46224</v>
      </c>
      <c r="N27" s="32" t="s">
        <v>343</v>
      </c>
      <c r="O27" s="32" t="s">
        <v>353</v>
      </c>
      <c r="P27" s="27" t="s">
        <v>345</v>
      </c>
      <c r="Q27" s="29" t="s">
        <v>367</v>
      </c>
      <c r="R27" s="1"/>
      <c r="S27" s="1"/>
      <c r="T27" s="1"/>
      <c r="U27" s="1"/>
      <c r="V27" s="1"/>
      <c r="W27" s="1"/>
      <c r="X27" s="1"/>
      <c r="Y27" s="1"/>
      <c r="Z27" s="1"/>
    </row>
    <row r="28" spans="1:26" ht="94.5" hidden="1">
      <c r="A28" s="34">
        <v>4</v>
      </c>
      <c r="B28" s="33" t="s">
        <v>101</v>
      </c>
      <c r="C28" s="35" t="s">
        <v>336</v>
      </c>
      <c r="D28" s="36" t="s">
        <v>368</v>
      </c>
      <c r="E28" s="36" t="s">
        <v>369</v>
      </c>
      <c r="F28" s="36" t="s">
        <v>370</v>
      </c>
      <c r="G28" s="36" t="s">
        <v>371</v>
      </c>
      <c r="H28" s="36" t="s">
        <v>372</v>
      </c>
      <c r="I28" s="35" t="s">
        <v>373</v>
      </c>
      <c r="J28" s="30">
        <v>46223</v>
      </c>
      <c r="K28" s="31">
        <v>46219</v>
      </c>
      <c r="L28" s="37">
        <f t="shared" si="0"/>
        <v>46220</v>
      </c>
      <c r="M28" s="37">
        <f t="shared" si="1"/>
        <v>46224</v>
      </c>
      <c r="N28" s="32" t="s">
        <v>343</v>
      </c>
      <c r="O28" s="38" t="s">
        <v>353</v>
      </c>
      <c r="P28" s="34" t="s">
        <v>345</v>
      </c>
      <c r="Q28" s="36" t="s">
        <v>374</v>
      </c>
      <c r="R28" s="1"/>
      <c r="S28" s="1"/>
      <c r="T28" s="1"/>
      <c r="U28" s="1"/>
      <c r="V28" s="1"/>
      <c r="W28" s="1"/>
      <c r="X28" s="1"/>
      <c r="Y28" s="1"/>
      <c r="Z28" s="1"/>
    </row>
    <row r="29" spans="1:26" ht="94.5" hidden="1">
      <c r="A29" s="27">
        <v>5</v>
      </c>
      <c r="B29" s="33" t="s">
        <v>101</v>
      </c>
      <c r="C29" s="28" t="s">
        <v>336</v>
      </c>
      <c r="D29" s="29" t="s">
        <v>375</v>
      </c>
      <c r="E29" s="29" t="s">
        <v>376</v>
      </c>
      <c r="F29" s="29" t="s">
        <v>377</v>
      </c>
      <c r="G29" s="29" t="s">
        <v>378</v>
      </c>
      <c r="H29" s="29" t="s">
        <v>379</v>
      </c>
      <c r="I29" s="28" t="s">
        <v>360</v>
      </c>
      <c r="J29" s="30">
        <v>46223</v>
      </c>
      <c r="K29" s="31">
        <v>46219</v>
      </c>
      <c r="L29" s="31">
        <f t="shared" si="0"/>
        <v>46220</v>
      </c>
      <c r="M29" s="31">
        <f t="shared" si="1"/>
        <v>46224</v>
      </c>
      <c r="N29" s="32" t="s">
        <v>343</v>
      </c>
      <c r="O29" s="32" t="s">
        <v>353</v>
      </c>
      <c r="P29" s="27" t="s">
        <v>345</v>
      </c>
      <c r="Q29" s="29" t="s">
        <v>380</v>
      </c>
      <c r="R29" s="1"/>
      <c r="S29" s="1"/>
      <c r="T29" s="1"/>
      <c r="U29" s="1"/>
      <c r="V29" s="1"/>
      <c r="W29" s="1"/>
      <c r="X29" s="1"/>
      <c r="Y29" s="1"/>
      <c r="Z29" s="1"/>
    </row>
    <row r="30" spans="1:26" ht="67.5" hidden="1">
      <c r="A30" s="39">
        <v>7</v>
      </c>
      <c r="B30" s="40" t="s">
        <v>101</v>
      </c>
      <c r="C30" s="40" t="s">
        <v>336</v>
      </c>
      <c r="D30" s="41" t="s">
        <v>97</v>
      </c>
      <c r="E30" s="41" t="s">
        <v>381</v>
      </c>
      <c r="F30" s="41" t="s">
        <v>382</v>
      </c>
      <c r="G30" s="41" t="s">
        <v>383</v>
      </c>
      <c r="H30" s="41" t="s">
        <v>384</v>
      </c>
      <c r="I30" s="22" t="s">
        <v>373</v>
      </c>
      <c r="J30" s="42">
        <v>46224</v>
      </c>
      <c r="K30" s="43">
        <v>46222</v>
      </c>
      <c r="L30" s="43">
        <f t="shared" si="0"/>
        <v>46223</v>
      </c>
      <c r="M30" s="43">
        <f t="shared" si="1"/>
        <v>46225</v>
      </c>
      <c r="N30" s="44" t="s">
        <v>343</v>
      </c>
      <c r="O30" s="44" t="s">
        <v>353</v>
      </c>
      <c r="P30" s="39" t="s">
        <v>345</v>
      </c>
      <c r="Q30" s="41" t="s">
        <v>385</v>
      </c>
      <c r="R30" s="1"/>
      <c r="S30" s="1"/>
      <c r="T30" s="1"/>
      <c r="U30" s="1"/>
      <c r="V30" s="1"/>
      <c r="W30" s="1"/>
      <c r="X30" s="1"/>
      <c r="Y30" s="1"/>
      <c r="Z30" s="1"/>
    </row>
    <row r="31" spans="1:26" ht="81" hidden="1">
      <c r="A31" s="21">
        <v>8</v>
      </c>
      <c r="B31" s="22" t="s">
        <v>101</v>
      </c>
      <c r="C31" s="22" t="s">
        <v>336</v>
      </c>
      <c r="D31" s="23" t="s">
        <v>386</v>
      </c>
      <c r="E31" s="23" t="s">
        <v>387</v>
      </c>
      <c r="F31" s="23" t="s">
        <v>388</v>
      </c>
      <c r="G31" s="23" t="s">
        <v>389</v>
      </c>
      <c r="H31" s="23" t="s">
        <v>390</v>
      </c>
      <c r="I31" s="22" t="s">
        <v>360</v>
      </c>
      <c r="J31" s="42">
        <v>46224</v>
      </c>
      <c r="K31" s="43">
        <v>46222</v>
      </c>
      <c r="L31" s="25">
        <f t="shared" si="0"/>
        <v>46223</v>
      </c>
      <c r="M31" s="25">
        <f t="shared" si="1"/>
        <v>46225</v>
      </c>
      <c r="N31" s="26" t="s">
        <v>343</v>
      </c>
      <c r="O31" s="26" t="s">
        <v>353</v>
      </c>
      <c r="P31" s="21" t="s">
        <v>345</v>
      </c>
      <c r="Q31" s="23" t="s">
        <v>391</v>
      </c>
      <c r="R31" s="1"/>
      <c r="S31" s="1"/>
      <c r="T31" s="1"/>
      <c r="U31" s="1"/>
      <c r="V31" s="1"/>
      <c r="W31" s="1"/>
      <c r="X31" s="1"/>
      <c r="Y31" s="1"/>
      <c r="Z31" s="1"/>
    </row>
    <row r="32" spans="1:26" ht="81" hidden="1">
      <c r="A32" s="21">
        <v>9</v>
      </c>
      <c r="B32" s="22" t="s">
        <v>101</v>
      </c>
      <c r="C32" s="22" t="s">
        <v>336</v>
      </c>
      <c r="D32" s="23" t="s">
        <v>392</v>
      </c>
      <c r="E32" s="23" t="s">
        <v>393</v>
      </c>
      <c r="F32" s="23" t="s">
        <v>394</v>
      </c>
      <c r="G32" s="23" t="s">
        <v>395</v>
      </c>
      <c r="H32" s="23" t="s">
        <v>396</v>
      </c>
      <c r="I32" s="22" t="s">
        <v>360</v>
      </c>
      <c r="J32" s="45">
        <v>46224</v>
      </c>
      <c r="K32" s="46">
        <v>46222</v>
      </c>
      <c r="L32" s="25">
        <f t="shared" si="0"/>
        <v>46223</v>
      </c>
      <c r="M32" s="25">
        <f t="shared" si="1"/>
        <v>46225</v>
      </c>
      <c r="N32" s="26" t="s">
        <v>343</v>
      </c>
      <c r="O32" s="26" t="s">
        <v>353</v>
      </c>
      <c r="P32" s="21" t="s">
        <v>345</v>
      </c>
      <c r="Q32" s="23" t="s">
        <v>391</v>
      </c>
      <c r="R32" s="1"/>
      <c r="S32" s="1"/>
      <c r="T32" s="1"/>
      <c r="U32" s="1"/>
      <c r="V32" s="1"/>
      <c r="W32" s="1"/>
      <c r="X32" s="1"/>
      <c r="Y32" s="1"/>
      <c r="Z32" s="1"/>
    </row>
    <row r="33" spans="1:26" ht="81" hidden="1">
      <c r="A33" s="47">
        <v>10</v>
      </c>
      <c r="B33" s="48" t="s">
        <v>101</v>
      </c>
      <c r="C33" s="48" t="s">
        <v>336</v>
      </c>
      <c r="D33" s="49" t="s">
        <v>397</v>
      </c>
      <c r="E33" s="49" t="s">
        <v>398</v>
      </c>
      <c r="F33" s="49" t="s">
        <v>399</v>
      </c>
      <c r="G33" s="49" t="s">
        <v>400</v>
      </c>
      <c r="H33" s="49" t="s">
        <v>401</v>
      </c>
      <c r="I33" s="48" t="s">
        <v>360</v>
      </c>
      <c r="J33" s="45">
        <v>46224</v>
      </c>
      <c r="K33" s="46">
        <v>46222</v>
      </c>
      <c r="L33" s="50">
        <f t="shared" si="0"/>
        <v>46223</v>
      </c>
      <c r="M33" s="50">
        <f t="shared" si="1"/>
        <v>46225</v>
      </c>
      <c r="N33" s="51" t="s">
        <v>343</v>
      </c>
      <c r="O33" s="52" t="s">
        <v>353</v>
      </c>
      <c r="P33" s="47" t="s">
        <v>345</v>
      </c>
      <c r="Q33" s="49" t="s">
        <v>402</v>
      </c>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sheetData>
  <mergeCells count="13">
    <mergeCell ref="A1:L1"/>
    <mergeCell ref="A2:L2"/>
    <mergeCell ref="A17:Q17"/>
    <mergeCell ref="A18:Q18"/>
    <mergeCell ref="A19:Q19"/>
    <mergeCell ref="A20:D20"/>
    <mergeCell ref="F20:I20"/>
    <mergeCell ref="K20:L20"/>
    <mergeCell ref="N20:Q20"/>
    <mergeCell ref="A21:D21"/>
    <mergeCell ref="F21:I21"/>
    <mergeCell ref="K21:L21"/>
    <mergeCell ref="N21:Q21"/>
  </mergeCells>
  <conditionalFormatting sqref="B24:B33">
    <cfRule type="expression" dxfId="64" priority="13">
      <formula>EXACT($B24,"High")</formula>
    </cfRule>
    <cfRule type="expression" dxfId="63" priority="14">
      <formula>EXACT($B24,"Medium")</formula>
    </cfRule>
    <cfRule type="expression" dxfId="62" priority="15">
      <formula>EXACT($B24,"Low")</formula>
    </cfRule>
  </conditionalFormatting>
  <conditionalFormatting sqref="K5:K15">
    <cfRule type="expression" dxfId="61" priority="16">
      <formula>ISNUMBER(SEARCH("Delayed",K5))</formula>
    </cfRule>
    <cfRule type="expression" dxfId="60" priority="17">
      <formula>ISNUMBER(SEARCH("Escalated",K5))</formula>
    </cfRule>
    <cfRule type="expression" dxfId="59" priority="18">
      <formula>ISNUMBER(SEARCH("Completed",K5))</formula>
    </cfRule>
    <cfRule type="expression" dxfId="58" priority="19">
      <formula>ISNUMBER(SEARCH("Closed",K5))</formula>
    </cfRule>
    <cfRule type="expression" dxfId="57" priority="20">
      <formula>ISNUMBER(SEARCH("Information Required",K5))</formula>
    </cfRule>
  </conditionalFormatting>
  <conditionalFormatting sqref="O24:O33">
    <cfRule type="expression" dxfId="56" priority="1">
      <formula>EXACT($O24,"Completed")</formula>
    </cfRule>
    <cfRule type="expression" dxfId="55" priority="2">
      <formula>EXACT($O24,"Scheduled")</formula>
    </cfRule>
    <cfRule type="expression" dxfId="54" priority="3">
      <formula>EXACT($O24,"Client review")</formula>
    </cfRule>
    <cfRule type="expression" dxfId="53" priority="4">
      <formula>EXACT($O24,"Ready to schedule")</formula>
    </cfRule>
    <cfRule type="expression" dxfId="52" priority="5">
      <formula>EXACT($O24,"On hold")</formula>
    </cfRule>
    <cfRule type="expression" dxfId="51" priority="6">
      <formula>EXACT($O24,"Not started")</formula>
    </cfRule>
    <cfRule type="expression" dxfId="50" priority="7">
      <formula>EXACT($O24,"Completed")</formula>
    </cfRule>
    <cfRule type="expression" dxfId="49" priority="8">
      <formula>EXACT($O24,"Scheduled")</formula>
    </cfRule>
    <cfRule type="expression" dxfId="48" priority="9">
      <formula>EXACT($O24,"Client review")</formula>
    </cfRule>
    <cfRule type="expression" dxfId="47" priority="10">
      <formula>EXACT($O24,"Ready to schedule")</formula>
    </cfRule>
    <cfRule type="expression" dxfId="46" priority="11">
      <formula>EXACT($O24,"On hold")</formula>
    </cfRule>
    <cfRule type="expression" dxfId="45" priority="12">
      <formula>EXACT($O24,"Not started")</formula>
    </cfRule>
  </conditionalFormatting>
  <dataValidations count="1">
    <dataValidation type="list" sqref="K5:K15" xr:uid="{00000000-0002-0000-0200-000000000000}">
      <formula1>"Not Started,Planned,Requested,Scheduled,In Progress,Open - verify status,Completed,Closed,Delayed,Escalated,Information Required"</formula1>
    </dataValidation>
  </dataValidations>
  <pageMargins left="0.7" right="0.7" top="0.75" bottom="0.75" header="0.3" footer="0.3"/>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00"/>
  <sheetViews>
    <sheetView topLeftCell="A2" zoomScale="85" zoomScaleNormal="85" workbookViewId="0">
      <selection activeCell="B9" sqref="B9"/>
    </sheetView>
  </sheetViews>
  <sheetFormatPr defaultRowHeight="14.25"/>
  <cols>
    <col min="1" max="1" width="10" customWidth="1"/>
    <col min="2" max="2" width="30" customWidth="1"/>
    <col min="3" max="3" width="42" customWidth="1"/>
    <col min="4" max="4" width="48" customWidth="1"/>
    <col min="5" max="5" width="28" customWidth="1"/>
    <col min="6" max="6" width="48" customWidth="1"/>
    <col min="7" max="7" width="38" customWidth="1"/>
    <col min="8" max="8" width="12" customWidth="1"/>
    <col min="9" max="9" width="22" customWidth="1"/>
    <col min="10" max="10" width="32" customWidth="1"/>
  </cols>
  <sheetData>
    <row r="1" spans="1:26" ht="27.95" customHeight="1">
      <c r="A1" s="228" t="s">
        <v>403</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404</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405</v>
      </c>
      <c r="B4" s="2" t="s">
        <v>23</v>
      </c>
      <c r="C4" s="2" t="s">
        <v>406</v>
      </c>
      <c r="D4" s="2" t="s">
        <v>407</v>
      </c>
      <c r="E4" s="2" t="s">
        <v>408</v>
      </c>
      <c r="F4" s="2" t="s">
        <v>409</v>
      </c>
      <c r="G4" s="2" t="s">
        <v>410</v>
      </c>
      <c r="H4" s="2" t="s">
        <v>411</v>
      </c>
      <c r="I4" s="2" t="s">
        <v>412</v>
      </c>
      <c r="J4" s="2" t="s">
        <v>36</v>
      </c>
      <c r="K4" s="1"/>
      <c r="L4" s="1"/>
      <c r="M4" s="1"/>
      <c r="N4" s="1"/>
      <c r="O4" s="1"/>
      <c r="P4" s="1"/>
      <c r="Q4" s="1"/>
      <c r="R4" s="1"/>
      <c r="S4" s="1"/>
      <c r="T4" s="1"/>
      <c r="U4" s="1"/>
      <c r="V4" s="1"/>
      <c r="W4" s="1"/>
      <c r="X4" s="1"/>
      <c r="Y4" s="1"/>
      <c r="Z4" s="1"/>
    </row>
    <row r="5" spans="1:26" ht="30" customHeight="1">
      <c r="A5" s="3" t="s">
        <v>413</v>
      </c>
      <c r="B5" s="3" t="s">
        <v>414</v>
      </c>
      <c r="C5" s="3" t="s">
        <v>415</v>
      </c>
      <c r="D5" s="3" t="s">
        <v>416</v>
      </c>
      <c r="E5" s="3" t="s">
        <v>417</v>
      </c>
      <c r="F5" s="3" t="s">
        <v>418</v>
      </c>
      <c r="G5" s="3" t="s">
        <v>419</v>
      </c>
      <c r="H5" s="3">
        <v>10</v>
      </c>
      <c r="I5" s="3" t="s">
        <v>249</v>
      </c>
      <c r="J5" s="3" t="s">
        <v>420</v>
      </c>
      <c r="K5" s="1"/>
      <c r="L5" s="1"/>
      <c r="M5" s="1"/>
      <c r="N5" s="1"/>
      <c r="O5" s="1"/>
      <c r="P5" s="1"/>
      <c r="Q5" s="1"/>
      <c r="R5" s="1"/>
      <c r="S5" s="1"/>
      <c r="T5" s="1"/>
      <c r="U5" s="1"/>
      <c r="V5" s="1"/>
      <c r="W5" s="1"/>
      <c r="X5" s="1"/>
      <c r="Y5" s="1"/>
      <c r="Z5" s="1"/>
    </row>
    <row r="6" spans="1:26" ht="30" customHeight="1">
      <c r="A6" s="3" t="s">
        <v>413</v>
      </c>
      <c r="B6" s="3" t="s">
        <v>414</v>
      </c>
      <c r="C6" s="3" t="s">
        <v>415</v>
      </c>
      <c r="D6" s="3" t="s">
        <v>416</v>
      </c>
      <c r="E6" s="3" t="s">
        <v>421</v>
      </c>
      <c r="F6" s="3" t="s">
        <v>422</v>
      </c>
      <c r="G6" s="3" t="s">
        <v>423</v>
      </c>
      <c r="H6" s="3">
        <v>15</v>
      </c>
      <c r="I6" s="3" t="s">
        <v>250</v>
      </c>
      <c r="J6" s="3" t="s">
        <v>424</v>
      </c>
      <c r="K6" s="1"/>
      <c r="L6" s="1"/>
      <c r="M6" s="1"/>
      <c r="N6" s="1"/>
      <c r="O6" s="1"/>
      <c r="P6" s="1"/>
      <c r="Q6" s="1"/>
      <c r="R6" s="1"/>
      <c r="S6" s="1"/>
      <c r="T6" s="1"/>
      <c r="U6" s="1"/>
      <c r="V6" s="1"/>
      <c r="W6" s="1"/>
      <c r="X6" s="1"/>
      <c r="Y6" s="1"/>
      <c r="Z6" s="1"/>
    </row>
    <row r="7" spans="1:26" ht="30" customHeight="1">
      <c r="A7" s="3" t="s">
        <v>413</v>
      </c>
      <c r="B7" s="3" t="s">
        <v>414</v>
      </c>
      <c r="C7" s="3" t="s">
        <v>415</v>
      </c>
      <c r="D7" s="3" t="s">
        <v>416</v>
      </c>
      <c r="E7" s="3" t="s">
        <v>425</v>
      </c>
      <c r="F7" s="3" t="s">
        <v>426</v>
      </c>
      <c r="G7" s="3" t="s">
        <v>427</v>
      </c>
      <c r="H7" s="3">
        <v>20</v>
      </c>
      <c r="I7" s="3" t="s">
        <v>250</v>
      </c>
      <c r="J7" s="3" t="s">
        <v>428</v>
      </c>
      <c r="K7" s="1"/>
      <c r="L7" s="1"/>
      <c r="M7" s="1"/>
      <c r="N7" s="1"/>
      <c r="O7" s="1"/>
      <c r="P7" s="1"/>
      <c r="Q7" s="1"/>
      <c r="R7" s="1"/>
      <c r="S7" s="1"/>
      <c r="T7" s="1"/>
      <c r="U7" s="1"/>
      <c r="V7" s="1"/>
      <c r="W7" s="1"/>
      <c r="X7" s="1"/>
      <c r="Y7" s="1"/>
      <c r="Z7" s="1"/>
    </row>
    <row r="8" spans="1:26" ht="30" customHeight="1">
      <c r="A8" s="3" t="s">
        <v>413</v>
      </c>
      <c r="B8" s="3" t="s">
        <v>414</v>
      </c>
      <c r="C8" s="3" t="s">
        <v>415</v>
      </c>
      <c r="D8" s="3" t="s">
        <v>416</v>
      </c>
      <c r="E8" s="3" t="s">
        <v>429</v>
      </c>
      <c r="F8" s="3" t="s">
        <v>430</v>
      </c>
      <c r="G8" s="3" t="s">
        <v>431</v>
      </c>
      <c r="H8" s="3">
        <v>15</v>
      </c>
      <c r="I8" s="3" t="s">
        <v>249</v>
      </c>
      <c r="J8" s="3" t="s">
        <v>432</v>
      </c>
      <c r="K8" s="1"/>
      <c r="L8" s="1"/>
      <c r="M8" s="1"/>
      <c r="N8" s="1"/>
      <c r="O8" s="1"/>
      <c r="P8" s="1"/>
      <c r="Q8" s="1"/>
      <c r="R8" s="1"/>
      <c r="S8" s="1"/>
      <c r="T8" s="1"/>
      <c r="U8" s="1"/>
      <c r="V8" s="1"/>
      <c r="W8" s="1"/>
      <c r="X8" s="1"/>
      <c r="Y8" s="1"/>
      <c r="Z8" s="1"/>
    </row>
    <row r="9" spans="1:26" ht="30" customHeight="1">
      <c r="A9" s="3" t="s">
        <v>413</v>
      </c>
      <c r="B9" s="3" t="s">
        <v>414</v>
      </c>
      <c r="C9" s="3" t="s">
        <v>415</v>
      </c>
      <c r="D9" s="3" t="s">
        <v>416</v>
      </c>
      <c r="E9" s="3" t="s">
        <v>433</v>
      </c>
      <c r="F9" s="3" t="s">
        <v>434</v>
      </c>
      <c r="G9" s="3" t="s">
        <v>435</v>
      </c>
      <c r="H9" s="3">
        <v>10</v>
      </c>
      <c r="I9" s="3" t="s">
        <v>249</v>
      </c>
      <c r="J9" s="3" t="s">
        <v>436</v>
      </c>
      <c r="K9" s="1"/>
      <c r="L9" s="1"/>
      <c r="M9" s="1"/>
      <c r="N9" s="1"/>
      <c r="O9" s="1"/>
      <c r="P9" s="1"/>
      <c r="Q9" s="1"/>
      <c r="R9" s="1"/>
      <c r="S9" s="1"/>
      <c r="T9" s="1"/>
      <c r="U9" s="1"/>
      <c r="V9" s="1"/>
      <c r="W9" s="1"/>
      <c r="X9" s="1"/>
      <c r="Y9" s="1"/>
      <c r="Z9" s="1"/>
    </row>
    <row r="10" spans="1:26" ht="30" customHeight="1">
      <c r="A10" s="3" t="s">
        <v>437</v>
      </c>
      <c r="B10" s="3" t="s">
        <v>56</v>
      </c>
      <c r="C10" s="3" t="s">
        <v>438</v>
      </c>
      <c r="D10" s="3" t="s">
        <v>439</v>
      </c>
      <c r="E10" s="3" t="s">
        <v>440</v>
      </c>
      <c r="F10" s="3" t="s">
        <v>441</v>
      </c>
      <c r="G10" s="3" t="s">
        <v>442</v>
      </c>
      <c r="H10" s="3">
        <v>15</v>
      </c>
      <c r="I10" s="3" t="s">
        <v>63</v>
      </c>
      <c r="J10" s="3" t="s">
        <v>443</v>
      </c>
      <c r="K10" s="1"/>
      <c r="L10" s="1"/>
      <c r="M10" s="1"/>
      <c r="N10" s="1"/>
      <c r="O10" s="1"/>
      <c r="P10" s="1"/>
      <c r="Q10" s="1"/>
      <c r="R10" s="1"/>
      <c r="S10" s="1"/>
      <c r="T10" s="1"/>
      <c r="U10" s="1"/>
      <c r="V10" s="1"/>
      <c r="W10" s="1"/>
      <c r="X10" s="1"/>
      <c r="Y10" s="1"/>
      <c r="Z10" s="1"/>
    </row>
    <row r="11" spans="1:26" ht="30" customHeight="1">
      <c r="A11" s="3" t="s">
        <v>437</v>
      </c>
      <c r="B11" s="3" t="s">
        <v>56</v>
      </c>
      <c r="C11" s="3" t="s">
        <v>438</v>
      </c>
      <c r="D11" s="3" t="s">
        <v>439</v>
      </c>
      <c r="E11" s="3" t="s">
        <v>444</v>
      </c>
      <c r="F11" s="3" t="s">
        <v>445</v>
      </c>
      <c r="G11" s="3" t="s">
        <v>446</v>
      </c>
      <c r="H11" s="3">
        <v>20</v>
      </c>
      <c r="I11" s="3" t="s">
        <v>63</v>
      </c>
      <c r="J11" s="3" t="s">
        <v>447</v>
      </c>
      <c r="K11" s="1"/>
      <c r="L11" s="1"/>
      <c r="M11" s="1"/>
      <c r="N11" s="1"/>
      <c r="O11" s="1"/>
      <c r="P11" s="1"/>
      <c r="Q11" s="1"/>
      <c r="R11" s="1"/>
      <c r="S11" s="1"/>
      <c r="T11" s="1"/>
      <c r="U11" s="1"/>
      <c r="V11" s="1"/>
      <c r="W11" s="1"/>
      <c r="X11" s="1"/>
      <c r="Y11" s="1"/>
      <c r="Z11" s="1"/>
    </row>
    <row r="12" spans="1:26" ht="30" customHeight="1">
      <c r="A12" s="3" t="s">
        <v>437</v>
      </c>
      <c r="B12" s="3" t="s">
        <v>56</v>
      </c>
      <c r="C12" s="3" t="s">
        <v>438</v>
      </c>
      <c r="D12" s="3" t="s">
        <v>439</v>
      </c>
      <c r="E12" s="3" t="s">
        <v>448</v>
      </c>
      <c r="F12" s="3" t="s">
        <v>449</v>
      </c>
      <c r="G12" s="3" t="s">
        <v>450</v>
      </c>
      <c r="H12" s="3">
        <v>20</v>
      </c>
      <c r="I12" s="3" t="s">
        <v>169</v>
      </c>
      <c r="J12" s="3" t="s">
        <v>305</v>
      </c>
      <c r="K12" s="1"/>
      <c r="L12" s="1"/>
      <c r="M12" s="1"/>
      <c r="N12" s="1"/>
      <c r="O12" s="1"/>
      <c r="P12" s="1"/>
      <c r="Q12" s="1"/>
      <c r="R12" s="1"/>
      <c r="S12" s="1"/>
      <c r="T12" s="1"/>
      <c r="U12" s="1"/>
      <c r="V12" s="1"/>
      <c r="W12" s="1"/>
      <c r="X12" s="1"/>
      <c r="Y12" s="1"/>
      <c r="Z12" s="1"/>
    </row>
    <row r="13" spans="1:26" ht="30" customHeight="1">
      <c r="A13" s="3" t="s">
        <v>437</v>
      </c>
      <c r="B13" s="3" t="s">
        <v>56</v>
      </c>
      <c r="C13" s="3" t="s">
        <v>438</v>
      </c>
      <c r="D13" s="3" t="s">
        <v>439</v>
      </c>
      <c r="E13" s="3" t="s">
        <v>451</v>
      </c>
      <c r="F13" s="3" t="s">
        <v>452</v>
      </c>
      <c r="G13" s="3" t="s">
        <v>453</v>
      </c>
      <c r="H13" s="3">
        <v>15</v>
      </c>
      <c r="I13" s="3" t="s">
        <v>454</v>
      </c>
      <c r="J13" s="3" t="s">
        <v>455</v>
      </c>
      <c r="K13" s="1"/>
      <c r="L13" s="1"/>
      <c r="M13" s="1"/>
      <c r="N13" s="1"/>
      <c r="O13" s="1"/>
      <c r="P13" s="1"/>
      <c r="Q13" s="1"/>
      <c r="R13" s="1"/>
      <c r="S13" s="1"/>
      <c r="T13" s="1"/>
      <c r="U13" s="1"/>
      <c r="V13" s="1"/>
      <c r="W13" s="1"/>
      <c r="X13" s="1"/>
      <c r="Y13" s="1"/>
      <c r="Z13" s="1"/>
    </row>
    <row r="14" spans="1:26" ht="30" customHeight="1">
      <c r="A14" s="3" t="s">
        <v>437</v>
      </c>
      <c r="B14" s="3" t="s">
        <v>56</v>
      </c>
      <c r="C14" s="3" t="s">
        <v>438</v>
      </c>
      <c r="D14" s="3" t="s">
        <v>439</v>
      </c>
      <c r="E14" s="3" t="s">
        <v>456</v>
      </c>
      <c r="F14" s="3" t="s">
        <v>457</v>
      </c>
      <c r="G14" s="3" t="s">
        <v>458</v>
      </c>
      <c r="H14" s="3">
        <v>10</v>
      </c>
      <c r="I14" s="3" t="s">
        <v>250</v>
      </c>
      <c r="J14" s="3" t="s">
        <v>459</v>
      </c>
      <c r="K14" s="1"/>
      <c r="L14" s="1"/>
      <c r="M14" s="1"/>
      <c r="N14" s="1"/>
      <c r="O14" s="1"/>
      <c r="P14" s="1"/>
      <c r="Q14" s="1"/>
      <c r="R14" s="1"/>
      <c r="S14" s="1"/>
      <c r="T14" s="1"/>
      <c r="U14" s="1"/>
      <c r="V14" s="1"/>
      <c r="W14" s="1"/>
      <c r="X14" s="1"/>
      <c r="Y14" s="1"/>
      <c r="Z14" s="1"/>
    </row>
    <row r="15" spans="1:26" ht="30" customHeight="1">
      <c r="A15" s="3" t="s">
        <v>460</v>
      </c>
      <c r="B15" s="3" t="s">
        <v>257</v>
      </c>
      <c r="C15" s="3" t="s">
        <v>461</v>
      </c>
      <c r="D15" s="3" t="s">
        <v>462</v>
      </c>
      <c r="E15" s="3" t="s">
        <v>463</v>
      </c>
      <c r="F15" s="3" t="s">
        <v>464</v>
      </c>
      <c r="G15" s="3" t="s">
        <v>465</v>
      </c>
      <c r="H15" s="3">
        <v>10</v>
      </c>
      <c r="I15" s="3" t="s">
        <v>77</v>
      </c>
      <c r="J15" s="3" t="s">
        <v>466</v>
      </c>
      <c r="K15" s="1"/>
      <c r="L15" s="1"/>
      <c r="M15" s="1"/>
      <c r="N15" s="1"/>
      <c r="O15" s="1"/>
      <c r="P15" s="1"/>
      <c r="Q15" s="1"/>
      <c r="R15" s="1"/>
      <c r="S15" s="1"/>
      <c r="T15" s="1"/>
      <c r="U15" s="1"/>
      <c r="V15" s="1"/>
      <c r="W15" s="1"/>
      <c r="X15" s="1"/>
      <c r="Y15" s="1"/>
      <c r="Z15" s="1"/>
    </row>
    <row r="16" spans="1:26" ht="30" customHeight="1">
      <c r="A16" s="3" t="s">
        <v>460</v>
      </c>
      <c r="B16" s="3" t="s">
        <v>257</v>
      </c>
      <c r="C16" s="3" t="s">
        <v>461</v>
      </c>
      <c r="D16" s="3" t="s">
        <v>462</v>
      </c>
      <c r="E16" s="3" t="s">
        <v>467</v>
      </c>
      <c r="F16" s="3" t="s">
        <v>468</v>
      </c>
      <c r="G16" s="3" t="s">
        <v>469</v>
      </c>
      <c r="H16" s="3">
        <v>20</v>
      </c>
      <c r="I16" s="3" t="s">
        <v>77</v>
      </c>
      <c r="J16" s="3" t="s">
        <v>470</v>
      </c>
      <c r="K16" s="1"/>
      <c r="L16" s="1"/>
      <c r="M16" s="1"/>
      <c r="N16" s="1"/>
      <c r="O16" s="1"/>
      <c r="P16" s="1"/>
      <c r="Q16" s="1"/>
      <c r="R16" s="1"/>
      <c r="S16" s="1"/>
      <c r="T16" s="1"/>
      <c r="U16" s="1"/>
      <c r="V16" s="1"/>
      <c r="W16" s="1"/>
      <c r="X16" s="1"/>
      <c r="Y16" s="1"/>
      <c r="Z16" s="1"/>
    </row>
    <row r="17" spans="1:26" ht="30" customHeight="1">
      <c r="A17" s="3" t="s">
        <v>460</v>
      </c>
      <c r="B17" s="3" t="s">
        <v>257</v>
      </c>
      <c r="C17" s="3" t="s">
        <v>461</v>
      </c>
      <c r="D17" s="3" t="s">
        <v>462</v>
      </c>
      <c r="E17" s="3" t="s">
        <v>471</v>
      </c>
      <c r="F17" s="3" t="s">
        <v>472</v>
      </c>
      <c r="G17" s="3" t="s">
        <v>473</v>
      </c>
      <c r="H17" s="3">
        <v>20</v>
      </c>
      <c r="I17" s="3" t="s">
        <v>474</v>
      </c>
      <c r="J17" s="3" t="s">
        <v>475</v>
      </c>
      <c r="K17" s="1"/>
      <c r="L17" s="1"/>
      <c r="M17" s="1"/>
      <c r="N17" s="1"/>
      <c r="O17" s="1"/>
      <c r="P17" s="1"/>
      <c r="Q17" s="1"/>
      <c r="R17" s="1"/>
      <c r="S17" s="1"/>
      <c r="T17" s="1"/>
      <c r="U17" s="1"/>
      <c r="V17" s="1"/>
      <c r="W17" s="1"/>
      <c r="X17" s="1"/>
      <c r="Y17" s="1"/>
      <c r="Z17" s="1"/>
    </row>
    <row r="18" spans="1:26" ht="30" customHeight="1">
      <c r="A18" s="3" t="s">
        <v>460</v>
      </c>
      <c r="B18" s="3" t="s">
        <v>257</v>
      </c>
      <c r="C18" s="3" t="s">
        <v>461</v>
      </c>
      <c r="D18" s="3" t="s">
        <v>462</v>
      </c>
      <c r="E18" s="3" t="s">
        <v>476</v>
      </c>
      <c r="F18" s="3" t="s">
        <v>477</v>
      </c>
      <c r="G18" s="3" t="s">
        <v>478</v>
      </c>
      <c r="H18" s="3">
        <v>15</v>
      </c>
      <c r="I18" s="3" t="s">
        <v>479</v>
      </c>
      <c r="J18" s="3" t="s">
        <v>480</v>
      </c>
      <c r="K18" s="1"/>
      <c r="L18" s="1"/>
      <c r="M18" s="1"/>
      <c r="N18" s="1"/>
      <c r="O18" s="1"/>
      <c r="P18" s="1"/>
      <c r="Q18" s="1"/>
      <c r="R18" s="1"/>
      <c r="S18" s="1"/>
      <c r="T18" s="1"/>
      <c r="U18" s="1"/>
      <c r="V18" s="1"/>
      <c r="W18" s="1"/>
      <c r="X18" s="1"/>
      <c r="Y18" s="1"/>
      <c r="Z18" s="1"/>
    </row>
    <row r="19" spans="1:26" ht="30" customHeight="1">
      <c r="A19" s="3" t="s">
        <v>460</v>
      </c>
      <c r="B19" s="3" t="s">
        <v>257</v>
      </c>
      <c r="C19" s="3" t="s">
        <v>461</v>
      </c>
      <c r="D19" s="3" t="s">
        <v>462</v>
      </c>
      <c r="E19" s="3" t="s">
        <v>481</v>
      </c>
      <c r="F19" s="3" t="s">
        <v>482</v>
      </c>
      <c r="G19" s="3" t="s">
        <v>483</v>
      </c>
      <c r="H19" s="3">
        <v>10</v>
      </c>
      <c r="I19" s="3" t="s">
        <v>484</v>
      </c>
      <c r="J19" s="3" t="s">
        <v>485</v>
      </c>
      <c r="K19" s="1"/>
      <c r="L19" s="1"/>
      <c r="M19" s="1"/>
      <c r="N19" s="1"/>
      <c r="O19" s="1"/>
      <c r="P19" s="1"/>
      <c r="Q19" s="1"/>
      <c r="R19" s="1"/>
      <c r="S19" s="1"/>
      <c r="T19" s="1"/>
      <c r="U19" s="1"/>
      <c r="V19" s="1"/>
      <c r="W19" s="1"/>
      <c r="X19" s="1"/>
      <c r="Y19" s="1"/>
      <c r="Z19" s="1"/>
    </row>
    <row r="20" spans="1:26" ht="30" customHeight="1">
      <c r="A20" s="3" t="s">
        <v>460</v>
      </c>
      <c r="B20" s="3" t="s">
        <v>257</v>
      </c>
      <c r="C20" s="3" t="s">
        <v>461</v>
      </c>
      <c r="D20" s="3" t="s">
        <v>462</v>
      </c>
      <c r="E20" s="3" t="s">
        <v>433</v>
      </c>
      <c r="F20" s="3" t="s">
        <v>486</v>
      </c>
      <c r="G20" s="3" t="s">
        <v>487</v>
      </c>
      <c r="H20" s="3">
        <v>5</v>
      </c>
      <c r="I20" s="3" t="s">
        <v>250</v>
      </c>
      <c r="J20" s="3" t="s">
        <v>488</v>
      </c>
      <c r="K20" s="1"/>
      <c r="L20" s="1"/>
      <c r="M20" s="1"/>
      <c r="N20" s="1"/>
      <c r="O20" s="1"/>
      <c r="P20" s="1"/>
      <c r="Q20" s="1"/>
      <c r="R20" s="1"/>
      <c r="S20" s="1"/>
      <c r="T20" s="1"/>
      <c r="U20" s="1"/>
      <c r="V20" s="1"/>
      <c r="W20" s="1"/>
      <c r="X20" s="1"/>
      <c r="Y20" s="1"/>
      <c r="Z20" s="1"/>
    </row>
    <row r="21" spans="1:26" ht="30" customHeight="1">
      <c r="A21" s="3" t="s">
        <v>489</v>
      </c>
      <c r="B21" s="3" t="s">
        <v>490</v>
      </c>
      <c r="C21" s="3" t="s">
        <v>491</v>
      </c>
      <c r="D21" s="3" t="s">
        <v>492</v>
      </c>
      <c r="E21" s="3" t="s">
        <v>493</v>
      </c>
      <c r="F21" s="3" t="s">
        <v>494</v>
      </c>
      <c r="G21" s="3" t="s">
        <v>495</v>
      </c>
      <c r="H21" s="3">
        <v>15</v>
      </c>
      <c r="I21" s="3" t="s">
        <v>90</v>
      </c>
      <c r="J21" s="3" t="s">
        <v>496</v>
      </c>
      <c r="K21" s="1"/>
      <c r="L21" s="1"/>
      <c r="M21" s="1"/>
      <c r="N21" s="1"/>
      <c r="O21" s="1"/>
      <c r="P21" s="1"/>
      <c r="Q21" s="1"/>
      <c r="R21" s="1"/>
      <c r="S21" s="1"/>
      <c r="T21" s="1"/>
      <c r="U21" s="1"/>
      <c r="V21" s="1"/>
      <c r="W21" s="1"/>
      <c r="X21" s="1"/>
      <c r="Y21" s="1"/>
      <c r="Z21" s="1"/>
    </row>
    <row r="22" spans="1:26" ht="30" customHeight="1">
      <c r="A22" s="3" t="s">
        <v>489</v>
      </c>
      <c r="B22" s="3" t="s">
        <v>490</v>
      </c>
      <c r="C22" s="3" t="s">
        <v>491</v>
      </c>
      <c r="D22" s="3" t="s">
        <v>492</v>
      </c>
      <c r="E22" s="3" t="s">
        <v>497</v>
      </c>
      <c r="F22" s="3" t="s">
        <v>498</v>
      </c>
      <c r="G22" s="3" t="s">
        <v>499</v>
      </c>
      <c r="H22" s="3">
        <v>20</v>
      </c>
      <c r="I22" s="3" t="s">
        <v>90</v>
      </c>
      <c r="J22" s="3" t="s">
        <v>500</v>
      </c>
      <c r="K22" s="1"/>
      <c r="L22" s="1"/>
      <c r="M22" s="1"/>
      <c r="N22" s="1"/>
      <c r="O22" s="1"/>
      <c r="P22" s="1"/>
      <c r="Q22" s="1"/>
      <c r="R22" s="1"/>
      <c r="S22" s="1"/>
      <c r="T22" s="1"/>
      <c r="U22" s="1"/>
      <c r="V22" s="1"/>
      <c r="W22" s="1"/>
      <c r="X22" s="1"/>
      <c r="Y22" s="1"/>
      <c r="Z22" s="1"/>
    </row>
    <row r="23" spans="1:26" ht="30" customHeight="1">
      <c r="A23" s="3" t="s">
        <v>489</v>
      </c>
      <c r="B23" s="3" t="s">
        <v>490</v>
      </c>
      <c r="C23" s="3" t="s">
        <v>491</v>
      </c>
      <c r="D23" s="3" t="s">
        <v>492</v>
      </c>
      <c r="E23" s="3" t="s">
        <v>501</v>
      </c>
      <c r="F23" s="3" t="s">
        <v>502</v>
      </c>
      <c r="G23" s="3" t="s">
        <v>503</v>
      </c>
      <c r="H23" s="3">
        <v>20</v>
      </c>
      <c r="I23" s="3" t="s">
        <v>504</v>
      </c>
      <c r="J23" s="3" t="s">
        <v>505</v>
      </c>
      <c r="K23" s="1"/>
      <c r="L23" s="1"/>
      <c r="M23" s="1"/>
      <c r="N23" s="1"/>
      <c r="O23" s="1"/>
      <c r="P23" s="1"/>
      <c r="Q23" s="1"/>
      <c r="R23" s="1"/>
      <c r="S23" s="1"/>
      <c r="T23" s="1"/>
      <c r="U23" s="1"/>
      <c r="V23" s="1"/>
      <c r="W23" s="1"/>
      <c r="X23" s="1"/>
      <c r="Y23" s="1"/>
      <c r="Z23" s="1"/>
    </row>
    <row r="24" spans="1:26" ht="30" customHeight="1">
      <c r="A24" s="3" t="s">
        <v>489</v>
      </c>
      <c r="B24" s="3" t="s">
        <v>490</v>
      </c>
      <c r="C24" s="3" t="s">
        <v>491</v>
      </c>
      <c r="D24" s="3" t="s">
        <v>492</v>
      </c>
      <c r="E24" s="3" t="s">
        <v>506</v>
      </c>
      <c r="F24" s="3" t="s">
        <v>507</v>
      </c>
      <c r="G24" s="3" t="s">
        <v>508</v>
      </c>
      <c r="H24" s="3">
        <v>15</v>
      </c>
      <c r="I24" s="3" t="s">
        <v>182</v>
      </c>
      <c r="J24" s="3" t="s">
        <v>509</v>
      </c>
      <c r="K24" s="1"/>
      <c r="L24" s="1"/>
      <c r="M24" s="1"/>
      <c r="N24" s="1"/>
      <c r="O24" s="1"/>
      <c r="P24" s="1"/>
      <c r="Q24" s="1"/>
      <c r="R24" s="1"/>
      <c r="S24" s="1"/>
      <c r="T24" s="1"/>
      <c r="U24" s="1"/>
      <c r="V24" s="1"/>
      <c r="W24" s="1"/>
      <c r="X24" s="1"/>
      <c r="Y24" s="1"/>
      <c r="Z24" s="1"/>
    </row>
    <row r="25" spans="1:26" ht="30" customHeight="1">
      <c r="A25" s="3" t="s">
        <v>489</v>
      </c>
      <c r="B25" s="3" t="s">
        <v>490</v>
      </c>
      <c r="C25" s="3" t="s">
        <v>491</v>
      </c>
      <c r="D25" s="3" t="s">
        <v>492</v>
      </c>
      <c r="E25" s="3" t="s">
        <v>433</v>
      </c>
      <c r="F25" s="3" t="s">
        <v>510</v>
      </c>
      <c r="G25" s="3" t="s">
        <v>511</v>
      </c>
      <c r="H25" s="3">
        <v>10</v>
      </c>
      <c r="I25" s="3" t="s">
        <v>250</v>
      </c>
      <c r="J25" s="3" t="s">
        <v>512</v>
      </c>
      <c r="K25" s="1"/>
      <c r="L25" s="1"/>
      <c r="M25" s="1"/>
      <c r="N25" s="1"/>
      <c r="O25" s="1"/>
      <c r="P25" s="1"/>
      <c r="Q25" s="1"/>
      <c r="R25" s="1"/>
      <c r="S25" s="1"/>
      <c r="T25" s="1"/>
      <c r="U25" s="1"/>
      <c r="V25" s="1"/>
      <c r="W25" s="1"/>
      <c r="X25" s="1"/>
      <c r="Y25" s="1"/>
      <c r="Z25" s="1"/>
    </row>
    <row r="26" spans="1:26" ht="30" customHeight="1">
      <c r="A26" s="3" t="s">
        <v>513</v>
      </c>
      <c r="B26" s="3" t="s">
        <v>270</v>
      </c>
      <c r="C26" s="3" t="s">
        <v>514</v>
      </c>
      <c r="D26" s="3" t="s">
        <v>515</v>
      </c>
      <c r="E26" s="3" t="s">
        <v>516</v>
      </c>
      <c r="F26" s="3" t="s">
        <v>517</v>
      </c>
      <c r="G26" s="3" t="s">
        <v>518</v>
      </c>
      <c r="H26" s="3">
        <v>10</v>
      </c>
      <c r="I26" s="3" t="s">
        <v>105</v>
      </c>
      <c r="J26" s="3" t="s">
        <v>519</v>
      </c>
      <c r="K26" s="1"/>
      <c r="L26" s="1"/>
      <c r="M26" s="1"/>
      <c r="N26" s="1"/>
      <c r="O26" s="1"/>
      <c r="P26" s="1"/>
      <c r="Q26" s="1"/>
      <c r="R26" s="1"/>
      <c r="S26" s="1"/>
      <c r="T26" s="1"/>
      <c r="U26" s="1"/>
      <c r="V26" s="1"/>
      <c r="W26" s="1"/>
      <c r="X26" s="1"/>
      <c r="Y26" s="1"/>
      <c r="Z26" s="1"/>
    </row>
    <row r="27" spans="1:26" ht="30" customHeight="1">
      <c r="A27" s="3" t="s">
        <v>513</v>
      </c>
      <c r="B27" s="3" t="s">
        <v>270</v>
      </c>
      <c r="C27" s="3" t="s">
        <v>514</v>
      </c>
      <c r="D27" s="3" t="s">
        <v>515</v>
      </c>
      <c r="E27" s="3" t="s">
        <v>520</v>
      </c>
      <c r="F27" s="3" t="s">
        <v>521</v>
      </c>
      <c r="G27" s="3" t="s">
        <v>522</v>
      </c>
      <c r="H27" s="3">
        <v>20</v>
      </c>
      <c r="I27" s="3" t="s">
        <v>105</v>
      </c>
      <c r="J27" s="3" t="s">
        <v>523</v>
      </c>
      <c r="K27" s="1"/>
      <c r="L27" s="1"/>
      <c r="M27" s="1"/>
      <c r="N27" s="1"/>
      <c r="O27" s="1"/>
      <c r="P27" s="1"/>
      <c r="Q27" s="1"/>
      <c r="R27" s="1"/>
      <c r="S27" s="1"/>
      <c r="T27" s="1"/>
      <c r="U27" s="1"/>
      <c r="V27" s="1"/>
      <c r="W27" s="1"/>
      <c r="X27" s="1"/>
      <c r="Y27" s="1"/>
      <c r="Z27" s="1"/>
    </row>
    <row r="28" spans="1:26" ht="30" customHeight="1">
      <c r="A28" s="3" t="s">
        <v>513</v>
      </c>
      <c r="B28" s="3" t="s">
        <v>270</v>
      </c>
      <c r="C28" s="3" t="s">
        <v>514</v>
      </c>
      <c r="D28" s="3" t="s">
        <v>515</v>
      </c>
      <c r="E28" s="3" t="s">
        <v>524</v>
      </c>
      <c r="F28" s="3" t="s">
        <v>525</v>
      </c>
      <c r="G28" s="3" t="s">
        <v>526</v>
      </c>
      <c r="H28" s="3">
        <v>20</v>
      </c>
      <c r="I28" s="3" t="s">
        <v>206</v>
      </c>
      <c r="J28" s="3" t="s">
        <v>527</v>
      </c>
      <c r="K28" s="1"/>
      <c r="L28" s="1"/>
      <c r="M28" s="1"/>
      <c r="N28" s="1"/>
      <c r="O28" s="1"/>
      <c r="P28" s="1"/>
      <c r="Q28" s="1"/>
      <c r="R28" s="1"/>
      <c r="S28" s="1"/>
      <c r="T28" s="1"/>
      <c r="U28" s="1"/>
      <c r="V28" s="1"/>
      <c r="W28" s="1"/>
      <c r="X28" s="1"/>
      <c r="Y28" s="1"/>
      <c r="Z28" s="1"/>
    </row>
    <row r="29" spans="1:26" ht="30" customHeight="1">
      <c r="A29" s="3" t="s">
        <v>513</v>
      </c>
      <c r="B29" s="3" t="s">
        <v>270</v>
      </c>
      <c r="C29" s="3" t="s">
        <v>514</v>
      </c>
      <c r="D29" s="3" t="s">
        <v>515</v>
      </c>
      <c r="E29" s="3" t="s">
        <v>528</v>
      </c>
      <c r="F29" s="3" t="s">
        <v>529</v>
      </c>
      <c r="G29" s="3" t="s">
        <v>530</v>
      </c>
      <c r="H29" s="3">
        <v>15</v>
      </c>
      <c r="I29" s="3" t="s">
        <v>105</v>
      </c>
      <c r="J29" s="3" t="s">
        <v>531</v>
      </c>
      <c r="K29" s="1"/>
      <c r="L29" s="1"/>
      <c r="M29" s="1"/>
      <c r="N29" s="1"/>
      <c r="O29" s="1"/>
      <c r="P29" s="1"/>
      <c r="Q29" s="1"/>
      <c r="R29" s="1"/>
      <c r="S29" s="1"/>
      <c r="T29" s="1"/>
      <c r="U29" s="1"/>
      <c r="V29" s="1"/>
      <c r="W29" s="1"/>
      <c r="X29" s="1"/>
      <c r="Y29" s="1"/>
      <c r="Z29" s="1"/>
    </row>
    <row r="30" spans="1:26" ht="30" customHeight="1">
      <c r="A30" s="3" t="s">
        <v>513</v>
      </c>
      <c r="B30" s="3" t="s">
        <v>270</v>
      </c>
      <c r="C30" s="3" t="s">
        <v>514</v>
      </c>
      <c r="D30" s="3" t="s">
        <v>515</v>
      </c>
      <c r="E30" s="3" t="s">
        <v>532</v>
      </c>
      <c r="F30" s="3" t="s">
        <v>533</v>
      </c>
      <c r="G30" s="3" t="s">
        <v>534</v>
      </c>
      <c r="H30" s="3">
        <v>10</v>
      </c>
      <c r="I30" s="3" t="s">
        <v>250</v>
      </c>
      <c r="J30" s="3" t="s">
        <v>535</v>
      </c>
      <c r="K30" s="1"/>
      <c r="L30" s="1"/>
      <c r="M30" s="1"/>
      <c r="N30" s="1"/>
      <c r="O30" s="1"/>
      <c r="P30" s="1"/>
      <c r="Q30" s="1"/>
      <c r="R30" s="1"/>
      <c r="S30" s="1"/>
      <c r="T30" s="1"/>
      <c r="U30" s="1"/>
      <c r="V30" s="1"/>
      <c r="W30" s="1"/>
      <c r="X30" s="1"/>
      <c r="Y30" s="1"/>
      <c r="Z30" s="1"/>
    </row>
    <row r="31" spans="1:26" ht="30" customHeight="1">
      <c r="A31" s="3" t="s">
        <v>536</v>
      </c>
      <c r="B31" s="3" t="s">
        <v>277</v>
      </c>
      <c r="C31" s="3" t="s">
        <v>537</v>
      </c>
      <c r="D31" s="3" t="s">
        <v>538</v>
      </c>
      <c r="E31" s="3" t="s">
        <v>539</v>
      </c>
      <c r="F31" s="3" t="s">
        <v>540</v>
      </c>
      <c r="G31" s="3" t="s">
        <v>541</v>
      </c>
      <c r="H31" s="3">
        <v>10</v>
      </c>
      <c r="I31" s="3" t="s">
        <v>250</v>
      </c>
      <c r="J31" s="3" t="s">
        <v>542</v>
      </c>
      <c r="K31" s="1"/>
      <c r="L31" s="1"/>
      <c r="M31" s="1"/>
      <c r="N31" s="1"/>
      <c r="O31" s="1"/>
      <c r="P31" s="1"/>
      <c r="Q31" s="1"/>
      <c r="R31" s="1"/>
      <c r="S31" s="1"/>
      <c r="T31" s="1"/>
      <c r="U31" s="1"/>
      <c r="V31" s="1"/>
      <c r="W31" s="1"/>
      <c r="X31" s="1"/>
      <c r="Y31" s="1"/>
      <c r="Z31" s="1"/>
    </row>
    <row r="32" spans="1:26" ht="30" customHeight="1">
      <c r="A32" s="3" t="s">
        <v>536</v>
      </c>
      <c r="B32" s="3" t="s">
        <v>277</v>
      </c>
      <c r="C32" s="3" t="s">
        <v>537</v>
      </c>
      <c r="D32" s="3" t="s">
        <v>538</v>
      </c>
      <c r="E32" s="3" t="s">
        <v>543</v>
      </c>
      <c r="F32" s="3" t="s">
        <v>544</v>
      </c>
      <c r="G32" s="3" t="s">
        <v>545</v>
      </c>
      <c r="H32" s="3">
        <v>20</v>
      </c>
      <c r="I32" s="3" t="s">
        <v>105</v>
      </c>
      <c r="J32" s="3" t="s">
        <v>546</v>
      </c>
      <c r="K32" s="1"/>
      <c r="L32" s="1"/>
      <c r="M32" s="1"/>
      <c r="N32" s="1"/>
      <c r="O32" s="1"/>
      <c r="P32" s="1"/>
      <c r="Q32" s="1"/>
      <c r="R32" s="1"/>
      <c r="S32" s="1"/>
      <c r="T32" s="1"/>
      <c r="U32" s="1"/>
      <c r="V32" s="1"/>
      <c r="W32" s="1"/>
      <c r="X32" s="1"/>
      <c r="Y32" s="1"/>
      <c r="Z32" s="1"/>
    </row>
    <row r="33" spans="1:26" ht="30" customHeight="1">
      <c r="A33" s="3" t="s">
        <v>536</v>
      </c>
      <c r="B33" s="3" t="s">
        <v>277</v>
      </c>
      <c r="C33" s="3" t="s">
        <v>537</v>
      </c>
      <c r="D33" s="3" t="s">
        <v>538</v>
      </c>
      <c r="E33" s="3" t="s">
        <v>547</v>
      </c>
      <c r="F33" s="3" t="s">
        <v>548</v>
      </c>
      <c r="G33" s="3" t="s">
        <v>549</v>
      </c>
      <c r="H33" s="3">
        <v>20</v>
      </c>
      <c r="I33" s="3" t="s">
        <v>90</v>
      </c>
      <c r="J33" s="3" t="s">
        <v>550</v>
      </c>
      <c r="K33" s="1"/>
      <c r="L33" s="1"/>
      <c r="M33" s="1"/>
      <c r="N33" s="1"/>
      <c r="O33" s="1"/>
      <c r="P33" s="1"/>
      <c r="Q33" s="1"/>
      <c r="R33" s="1"/>
      <c r="S33" s="1"/>
      <c r="T33" s="1"/>
      <c r="U33" s="1"/>
      <c r="V33" s="1"/>
      <c r="W33" s="1"/>
      <c r="X33" s="1"/>
      <c r="Y33" s="1"/>
      <c r="Z33" s="1"/>
    </row>
    <row r="34" spans="1:26" ht="30" customHeight="1">
      <c r="A34" s="3" t="s">
        <v>536</v>
      </c>
      <c r="B34" s="3" t="s">
        <v>277</v>
      </c>
      <c r="C34" s="3" t="s">
        <v>537</v>
      </c>
      <c r="D34" s="3" t="s">
        <v>538</v>
      </c>
      <c r="E34" s="3" t="s">
        <v>551</v>
      </c>
      <c r="F34" s="3" t="s">
        <v>552</v>
      </c>
      <c r="G34" s="3" t="s">
        <v>553</v>
      </c>
      <c r="H34" s="3">
        <v>20</v>
      </c>
      <c r="I34" s="3" t="s">
        <v>63</v>
      </c>
      <c r="J34" s="3" t="s">
        <v>554</v>
      </c>
      <c r="K34" s="1"/>
      <c r="L34" s="1"/>
      <c r="M34" s="1"/>
      <c r="N34" s="1"/>
      <c r="O34" s="1"/>
      <c r="P34" s="1"/>
      <c r="Q34" s="1"/>
      <c r="R34" s="1"/>
      <c r="S34" s="1"/>
      <c r="T34" s="1"/>
      <c r="U34" s="1"/>
      <c r="V34" s="1"/>
      <c r="W34" s="1"/>
      <c r="X34" s="1"/>
      <c r="Y34" s="1"/>
      <c r="Z34" s="1"/>
    </row>
    <row r="35" spans="1:26" ht="30" customHeight="1">
      <c r="A35" s="3" t="s">
        <v>536</v>
      </c>
      <c r="B35" s="3" t="s">
        <v>277</v>
      </c>
      <c r="C35" s="3" t="s">
        <v>537</v>
      </c>
      <c r="D35" s="3" t="s">
        <v>538</v>
      </c>
      <c r="E35" s="3" t="s">
        <v>433</v>
      </c>
      <c r="F35" s="3" t="s">
        <v>555</v>
      </c>
      <c r="G35" s="3" t="s">
        <v>556</v>
      </c>
      <c r="H35" s="3">
        <v>10</v>
      </c>
      <c r="I35" s="3" t="s">
        <v>250</v>
      </c>
      <c r="J35" s="3" t="s">
        <v>557</v>
      </c>
      <c r="K35" s="1"/>
      <c r="L35" s="1"/>
      <c r="M35" s="1"/>
      <c r="N35" s="1"/>
      <c r="O35" s="1"/>
      <c r="P35" s="1"/>
      <c r="Q35" s="1"/>
      <c r="R35" s="1"/>
      <c r="S35" s="1"/>
      <c r="T35" s="1"/>
      <c r="U35" s="1"/>
      <c r="V35" s="1"/>
      <c r="W35" s="1"/>
      <c r="X35" s="1"/>
      <c r="Y35" s="1"/>
      <c r="Z35" s="1"/>
    </row>
    <row r="36" spans="1:26" ht="30" customHeight="1">
      <c r="A36" s="3" t="s">
        <v>558</v>
      </c>
      <c r="B36" s="3" t="s">
        <v>136</v>
      </c>
      <c r="C36" s="3" t="s">
        <v>559</v>
      </c>
      <c r="D36" s="3" t="s">
        <v>560</v>
      </c>
      <c r="E36" s="3" t="s">
        <v>561</v>
      </c>
      <c r="F36" s="3" t="s">
        <v>562</v>
      </c>
      <c r="G36" s="3" t="s">
        <v>563</v>
      </c>
      <c r="H36" s="3">
        <v>15</v>
      </c>
      <c r="I36" s="3" t="s">
        <v>63</v>
      </c>
      <c r="J36" s="3" t="s">
        <v>564</v>
      </c>
      <c r="K36" s="1"/>
      <c r="L36" s="1"/>
      <c r="M36" s="1"/>
      <c r="N36" s="1"/>
      <c r="O36" s="1"/>
      <c r="P36" s="1"/>
      <c r="Q36" s="1"/>
      <c r="R36" s="1"/>
      <c r="S36" s="1"/>
      <c r="T36" s="1"/>
      <c r="U36" s="1"/>
      <c r="V36" s="1"/>
      <c r="W36" s="1"/>
      <c r="X36" s="1"/>
      <c r="Y36" s="1"/>
      <c r="Z36" s="1"/>
    </row>
    <row r="37" spans="1:26" ht="30" customHeight="1">
      <c r="A37" s="3" t="s">
        <v>558</v>
      </c>
      <c r="B37" s="3" t="s">
        <v>136</v>
      </c>
      <c r="C37" s="3" t="s">
        <v>559</v>
      </c>
      <c r="D37" s="3" t="s">
        <v>560</v>
      </c>
      <c r="E37" s="3" t="s">
        <v>565</v>
      </c>
      <c r="F37" s="3" t="s">
        <v>566</v>
      </c>
      <c r="G37" s="3" t="s">
        <v>567</v>
      </c>
      <c r="H37" s="3">
        <v>15</v>
      </c>
      <c r="I37" s="3" t="s">
        <v>63</v>
      </c>
      <c r="J37" s="3" t="s">
        <v>568</v>
      </c>
      <c r="K37" s="1"/>
      <c r="L37" s="1"/>
      <c r="M37" s="1"/>
      <c r="N37" s="1"/>
      <c r="O37" s="1"/>
      <c r="P37" s="1"/>
      <c r="Q37" s="1"/>
      <c r="R37" s="1"/>
      <c r="S37" s="1"/>
      <c r="T37" s="1"/>
      <c r="U37" s="1"/>
      <c r="V37" s="1"/>
      <c r="W37" s="1"/>
      <c r="X37" s="1"/>
      <c r="Y37" s="1"/>
      <c r="Z37" s="1"/>
    </row>
    <row r="38" spans="1:26" ht="30" customHeight="1">
      <c r="A38" s="3" t="s">
        <v>558</v>
      </c>
      <c r="B38" s="3" t="s">
        <v>136</v>
      </c>
      <c r="C38" s="3" t="s">
        <v>559</v>
      </c>
      <c r="D38" s="3" t="s">
        <v>560</v>
      </c>
      <c r="E38" s="3" t="s">
        <v>569</v>
      </c>
      <c r="F38" s="3" t="s">
        <v>570</v>
      </c>
      <c r="G38" s="3" t="s">
        <v>571</v>
      </c>
      <c r="H38" s="3">
        <v>20</v>
      </c>
      <c r="I38" s="3" t="s">
        <v>63</v>
      </c>
      <c r="J38" s="3" t="s">
        <v>572</v>
      </c>
      <c r="K38" s="1"/>
      <c r="L38" s="1"/>
      <c r="M38" s="1"/>
      <c r="N38" s="1"/>
      <c r="O38" s="1"/>
      <c r="P38" s="1"/>
      <c r="Q38" s="1"/>
      <c r="R38" s="1"/>
      <c r="S38" s="1"/>
      <c r="T38" s="1"/>
      <c r="U38" s="1"/>
      <c r="V38" s="1"/>
      <c r="W38" s="1"/>
      <c r="X38" s="1"/>
      <c r="Y38" s="1"/>
      <c r="Z38" s="1"/>
    </row>
    <row r="39" spans="1:26" ht="30" customHeight="1">
      <c r="A39" s="3" t="s">
        <v>558</v>
      </c>
      <c r="B39" s="3" t="s">
        <v>136</v>
      </c>
      <c r="C39" s="3" t="s">
        <v>559</v>
      </c>
      <c r="D39" s="3" t="s">
        <v>560</v>
      </c>
      <c r="E39" s="3" t="s">
        <v>573</v>
      </c>
      <c r="F39" s="3" t="s">
        <v>574</v>
      </c>
      <c r="G39" s="3" t="s">
        <v>575</v>
      </c>
      <c r="H39" s="3">
        <v>20</v>
      </c>
      <c r="I39" s="3" t="s">
        <v>182</v>
      </c>
      <c r="J39" s="3" t="s">
        <v>576</v>
      </c>
      <c r="K39" s="1"/>
      <c r="L39" s="1"/>
      <c r="M39" s="1"/>
      <c r="N39" s="1"/>
      <c r="O39" s="1"/>
      <c r="P39" s="1"/>
      <c r="Q39" s="1"/>
      <c r="R39" s="1"/>
      <c r="S39" s="1"/>
      <c r="T39" s="1"/>
      <c r="U39" s="1"/>
      <c r="V39" s="1"/>
      <c r="W39" s="1"/>
      <c r="X39" s="1"/>
      <c r="Y39" s="1"/>
      <c r="Z39" s="1"/>
    </row>
    <row r="40" spans="1:26" ht="30" customHeight="1">
      <c r="A40" s="3" t="s">
        <v>558</v>
      </c>
      <c r="B40" s="3" t="s">
        <v>136</v>
      </c>
      <c r="C40" s="3" t="s">
        <v>559</v>
      </c>
      <c r="D40" s="3" t="s">
        <v>560</v>
      </c>
      <c r="E40" s="3" t="s">
        <v>433</v>
      </c>
      <c r="F40" s="3" t="s">
        <v>577</v>
      </c>
      <c r="G40" s="3" t="s">
        <v>578</v>
      </c>
      <c r="H40" s="3">
        <v>10</v>
      </c>
      <c r="I40" s="3" t="s">
        <v>250</v>
      </c>
      <c r="J40" s="3" t="s">
        <v>557</v>
      </c>
      <c r="K40" s="1"/>
      <c r="L40" s="1"/>
      <c r="M40" s="1"/>
      <c r="N40" s="1"/>
      <c r="O40" s="1"/>
      <c r="P40" s="1"/>
      <c r="Q40" s="1"/>
      <c r="R40" s="1"/>
      <c r="S40" s="1"/>
      <c r="T40" s="1"/>
      <c r="U40" s="1"/>
      <c r="V40" s="1"/>
      <c r="W40" s="1"/>
      <c r="X40" s="1"/>
      <c r="Y40" s="1"/>
      <c r="Z40" s="1"/>
    </row>
    <row r="41" spans="1:26" ht="30" customHeight="1">
      <c r="A41" s="3" t="s">
        <v>579</v>
      </c>
      <c r="B41" s="3" t="s">
        <v>289</v>
      </c>
      <c r="C41" s="3" t="s">
        <v>580</v>
      </c>
      <c r="D41" s="3" t="s">
        <v>581</v>
      </c>
      <c r="E41" s="3" t="s">
        <v>582</v>
      </c>
      <c r="F41" s="3" t="s">
        <v>583</v>
      </c>
      <c r="G41" s="3" t="s">
        <v>584</v>
      </c>
      <c r="H41" s="3">
        <v>15</v>
      </c>
      <c r="I41" s="3" t="s">
        <v>130</v>
      </c>
      <c r="J41" s="3" t="s">
        <v>585</v>
      </c>
      <c r="K41" s="1"/>
      <c r="L41" s="1"/>
      <c r="M41" s="1"/>
      <c r="N41" s="1"/>
      <c r="O41" s="1"/>
      <c r="P41" s="1"/>
      <c r="Q41" s="1"/>
      <c r="R41" s="1"/>
      <c r="S41" s="1"/>
      <c r="T41" s="1"/>
      <c r="U41" s="1"/>
      <c r="V41" s="1"/>
      <c r="W41" s="1"/>
      <c r="X41" s="1"/>
      <c r="Y41" s="1"/>
      <c r="Z41" s="1"/>
    </row>
    <row r="42" spans="1:26" ht="30" customHeight="1">
      <c r="A42" s="3" t="s">
        <v>579</v>
      </c>
      <c r="B42" s="3" t="s">
        <v>289</v>
      </c>
      <c r="C42" s="3" t="s">
        <v>580</v>
      </c>
      <c r="D42" s="3" t="s">
        <v>581</v>
      </c>
      <c r="E42" s="3" t="s">
        <v>586</v>
      </c>
      <c r="F42" s="3" t="s">
        <v>587</v>
      </c>
      <c r="G42" s="3" t="s">
        <v>588</v>
      </c>
      <c r="H42" s="3">
        <v>15</v>
      </c>
      <c r="I42" s="3" t="s">
        <v>589</v>
      </c>
      <c r="J42" s="3" t="s">
        <v>590</v>
      </c>
      <c r="K42" s="1"/>
      <c r="L42" s="1"/>
      <c r="M42" s="1"/>
      <c r="N42" s="1"/>
      <c r="O42" s="1"/>
      <c r="P42" s="1"/>
      <c r="Q42" s="1"/>
      <c r="R42" s="1"/>
      <c r="S42" s="1"/>
      <c r="T42" s="1"/>
      <c r="U42" s="1"/>
      <c r="V42" s="1"/>
      <c r="W42" s="1"/>
      <c r="X42" s="1"/>
      <c r="Y42" s="1"/>
      <c r="Z42" s="1"/>
    </row>
    <row r="43" spans="1:26" ht="30" customHeight="1">
      <c r="A43" s="3" t="s">
        <v>579</v>
      </c>
      <c r="B43" s="3" t="s">
        <v>289</v>
      </c>
      <c r="C43" s="3" t="s">
        <v>580</v>
      </c>
      <c r="D43" s="3" t="s">
        <v>581</v>
      </c>
      <c r="E43" s="3" t="s">
        <v>591</v>
      </c>
      <c r="F43" s="3" t="s">
        <v>592</v>
      </c>
      <c r="G43" s="3" t="s">
        <v>593</v>
      </c>
      <c r="H43" s="3">
        <v>20</v>
      </c>
      <c r="I43" s="3" t="s">
        <v>130</v>
      </c>
      <c r="J43" s="3" t="s">
        <v>594</v>
      </c>
      <c r="K43" s="1"/>
      <c r="L43" s="1"/>
      <c r="M43" s="1"/>
      <c r="N43" s="1"/>
      <c r="O43" s="1"/>
      <c r="P43" s="1"/>
      <c r="Q43" s="1"/>
      <c r="R43" s="1"/>
      <c r="S43" s="1"/>
      <c r="T43" s="1"/>
      <c r="U43" s="1"/>
      <c r="V43" s="1"/>
      <c r="W43" s="1"/>
      <c r="X43" s="1"/>
      <c r="Y43" s="1"/>
      <c r="Z43" s="1"/>
    </row>
    <row r="44" spans="1:26" ht="30" customHeight="1">
      <c r="A44" s="3" t="s">
        <v>579</v>
      </c>
      <c r="B44" s="3" t="s">
        <v>289</v>
      </c>
      <c r="C44" s="3" t="s">
        <v>580</v>
      </c>
      <c r="D44" s="3" t="s">
        <v>581</v>
      </c>
      <c r="E44" s="3" t="s">
        <v>595</v>
      </c>
      <c r="F44" s="3" t="s">
        <v>596</v>
      </c>
      <c r="G44" s="3" t="s">
        <v>597</v>
      </c>
      <c r="H44" s="3">
        <v>20</v>
      </c>
      <c r="I44" s="3" t="s">
        <v>598</v>
      </c>
      <c r="J44" s="3" t="s">
        <v>599</v>
      </c>
      <c r="K44" s="1"/>
      <c r="L44" s="1"/>
      <c r="M44" s="1"/>
      <c r="N44" s="1"/>
      <c r="O44" s="1"/>
      <c r="P44" s="1"/>
      <c r="Q44" s="1"/>
      <c r="R44" s="1"/>
      <c r="S44" s="1"/>
      <c r="T44" s="1"/>
      <c r="U44" s="1"/>
      <c r="V44" s="1"/>
      <c r="W44" s="1"/>
      <c r="X44" s="1"/>
      <c r="Y44" s="1"/>
      <c r="Z44" s="1"/>
    </row>
    <row r="45" spans="1:26" ht="30" customHeight="1">
      <c r="A45" s="3" t="s">
        <v>579</v>
      </c>
      <c r="B45" s="3" t="s">
        <v>289</v>
      </c>
      <c r="C45" s="3" t="s">
        <v>580</v>
      </c>
      <c r="D45" s="3" t="s">
        <v>581</v>
      </c>
      <c r="E45" s="3" t="s">
        <v>433</v>
      </c>
      <c r="F45" s="3" t="s">
        <v>600</v>
      </c>
      <c r="G45" s="3" t="s">
        <v>601</v>
      </c>
      <c r="H45" s="3">
        <v>10</v>
      </c>
      <c r="I45" s="3" t="s">
        <v>250</v>
      </c>
      <c r="J45" s="3" t="s">
        <v>557</v>
      </c>
      <c r="K45" s="1"/>
      <c r="L45" s="1"/>
      <c r="M45" s="1"/>
      <c r="N45" s="1"/>
      <c r="O45" s="1"/>
      <c r="P45" s="1"/>
      <c r="Q45" s="1"/>
      <c r="R45" s="1"/>
      <c r="S45" s="1"/>
      <c r="T45" s="1"/>
      <c r="U45" s="1"/>
      <c r="V45" s="1"/>
      <c r="W45" s="1"/>
      <c r="X45" s="1"/>
      <c r="Y45" s="1"/>
      <c r="Z45" s="1"/>
    </row>
    <row r="46" spans="1:26" ht="30" customHeight="1">
      <c r="A46" s="3" t="s">
        <v>602</v>
      </c>
      <c r="B46" s="3" t="s">
        <v>148</v>
      </c>
      <c r="C46" s="3" t="s">
        <v>603</v>
      </c>
      <c r="D46" s="3" t="s">
        <v>604</v>
      </c>
      <c r="E46" s="3" t="s">
        <v>605</v>
      </c>
      <c r="F46" s="3" t="s">
        <v>606</v>
      </c>
      <c r="G46" s="3" t="s">
        <v>465</v>
      </c>
      <c r="H46" s="3">
        <v>10</v>
      </c>
      <c r="I46" s="3" t="s">
        <v>63</v>
      </c>
      <c r="J46" s="3" t="s">
        <v>607</v>
      </c>
      <c r="K46" s="1"/>
      <c r="L46" s="1"/>
      <c r="M46" s="1"/>
      <c r="N46" s="1"/>
      <c r="O46" s="1"/>
      <c r="P46" s="1"/>
      <c r="Q46" s="1"/>
      <c r="R46" s="1"/>
      <c r="S46" s="1"/>
      <c r="T46" s="1"/>
      <c r="U46" s="1"/>
      <c r="V46" s="1"/>
      <c r="W46" s="1"/>
      <c r="X46" s="1"/>
      <c r="Y46" s="1"/>
      <c r="Z46" s="1"/>
    </row>
    <row r="47" spans="1:26" ht="30" customHeight="1">
      <c r="A47" s="3" t="s">
        <v>602</v>
      </c>
      <c r="B47" s="3" t="s">
        <v>148</v>
      </c>
      <c r="C47" s="3" t="s">
        <v>603</v>
      </c>
      <c r="D47" s="3" t="s">
        <v>604</v>
      </c>
      <c r="E47" s="3" t="s">
        <v>608</v>
      </c>
      <c r="F47" s="3" t="s">
        <v>609</v>
      </c>
      <c r="G47" s="3" t="s">
        <v>610</v>
      </c>
      <c r="H47" s="3">
        <v>25</v>
      </c>
      <c r="I47" s="3" t="s">
        <v>611</v>
      </c>
      <c r="J47" s="3" t="s">
        <v>612</v>
      </c>
      <c r="K47" s="1"/>
      <c r="L47" s="1"/>
      <c r="M47" s="1"/>
      <c r="N47" s="1"/>
      <c r="O47" s="1"/>
      <c r="P47" s="1"/>
      <c r="Q47" s="1"/>
      <c r="R47" s="1"/>
      <c r="S47" s="1"/>
      <c r="T47" s="1"/>
      <c r="U47" s="1"/>
      <c r="V47" s="1"/>
      <c r="W47" s="1"/>
      <c r="X47" s="1"/>
      <c r="Y47" s="1"/>
      <c r="Z47" s="1"/>
    </row>
    <row r="48" spans="1:26" ht="30" customHeight="1">
      <c r="A48" s="3" t="s">
        <v>602</v>
      </c>
      <c r="B48" s="3" t="s">
        <v>148</v>
      </c>
      <c r="C48" s="3" t="s">
        <v>603</v>
      </c>
      <c r="D48" s="3" t="s">
        <v>604</v>
      </c>
      <c r="E48" s="3" t="s">
        <v>613</v>
      </c>
      <c r="F48" s="3" t="s">
        <v>614</v>
      </c>
      <c r="G48" s="3" t="s">
        <v>615</v>
      </c>
      <c r="H48" s="3">
        <v>15</v>
      </c>
      <c r="I48" s="3" t="s">
        <v>63</v>
      </c>
      <c r="J48" s="3" t="s">
        <v>616</v>
      </c>
      <c r="K48" s="1"/>
      <c r="L48" s="1"/>
      <c r="M48" s="1"/>
      <c r="N48" s="1"/>
      <c r="O48" s="1"/>
      <c r="P48" s="1"/>
      <c r="Q48" s="1"/>
      <c r="R48" s="1"/>
      <c r="S48" s="1"/>
      <c r="T48" s="1"/>
      <c r="U48" s="1"/>
      <c r="V48" s="1"/>
      <c r="W48" s="1"/>
      <c r="X48" s="1"/>
      <c r="Y48" s="1"/>
      <c r="Z48" s="1"/>
    </row>
    <row r="49" spans="1:26" ht="30" customHeight="1">
      <c r="A49" s="3" t="s">
        <v>602</v>
      </c>
      <c r="B49" s="3" t="s">
        <v>148</v>
      </c>
      <c r="C49" s="3" t="s">
        <v>603</v>
      </c>
      <c r="D49" s="3" t="s">
        <v>604</v>
      </c>
      <c r="E49" s="3" t="s">
        <v>617</v>
      </c>
      <c r="F49" s="3" t="s">
        <v>618</v>
      </c>
      <c r="G49" s="3" t="s">
        <v>619</v>
      </c>
      <c r="H49" s="3">
        <v>20</v>
      </c>
      <c r="I49" s="3" t="s">
        <v>63</v>
      </c>
      <c r="J49" s="3" t="s">
        <v>620</v>
      </c>
      <c r="K49" s="1"/>
      <c r="L49" s="1"/>
      <c r="M49" s="1"/>
      <c r="N49" s="1"/>
      <c r="O49" s="1"/>
      <c r="P49" s="1"/>
      <c r="Q49" s="1"/>
      <c r="R49" s="1"/>
      <c r="S49" s="1"/>
      <c r="T49" s="1"/>
      <c r="U49" s="1"/>
      <c r="V49" s="1"/>
      <c r="W49" s="1"/>
      <c r="X49" s="1"/>
      <c r="Y49" s="1"/>
      <c r="Z49" s="1"/>
    </row>
    <row r="50" spans="1:26" ht="30" customHeight="1">
      <c r="A50" s="3" t="s">
        <v>602</v>
      </c>
      <c r="B50" s="3" t="s">
        <v>148</v>
      </c>
      <c r="C50" s="3" t="s">
        <v>603</v>
      </c>
      <c r="D50" s="3" t="s">
        <v>604</v>
      </c>
      <c r="E50" s="3" t="s">
        <v>433</v>
      </c>
      <c r="F50" s="3" t="s">
        <v>621</v>
      </c>
      <c r="G50" s="3" t="s">
        <v>622</v>
      </c>
      <c r="H50" s="3">
        <v>10</v>
      </c>
      <c r="I50" s="3" t="s">
        <v>250</v>
      </c>
      <c r="J50" s="3" t="s">
        <v>623</v>
      </c>
      <c r="K50" s="1"/>
      <c r="L50" s="1"/>
      <c r="M50" s="1"/>
      <c r="N50" s="1"/>
      <c r="O50" s="1"/>
      <c r="P50" s="1"/>
      <c r="Q50" s="1"/>
      <c r="R50" s="1"/>
      <c r="S50" s="1"/>
      <c r="T50" s="1"/>
      <c r="U50" s="1"/>
      <c r="V50" s="1"/>
      <c r="W50" s="1"/>
      <c r="X50" s="1"/>
      <c r="Y50" s="1"/>
      <c r="Z50" s="1"/>
    </row>
    <row r="51" spans="1:26" ht="30" customHeight="1">
      <c r="A51" s="3" t="s">
        <v>624</v>
      </c>
      <c r="B51" s="3" t="s">
        <v>301</v>
      </c>
      <c r="C51" s="3" t="s">
        <v>625</v>
      </c>
      <c r="D51" s="3" t="s">
        <v>626</v>
      </c>
      <c r="E51" s="3" t="s">
        <v>627</v>
      </c>
      <c r="F51" s="3" t="s">
        <v>628</v>
      </c>
      <c r="G51" s="3" t="s">
        <v>629</v>
      </c>
      <c r="H51" s="3">
        <v>15</v>
      </c>
      <c r="I51" s="3" t="s">
        <v>169</v>
      </c>
      <c r="J51" s="3" t="s">
        <v>585</v>
      </c>
      <c r="K51" s="1"/>
      <c r="L51" s="1"/>
      <c r="M51" s="1"/>
      <c r="N51" s="1"/>
      <c r="O51" s="1"/>
      <c r="P51" s="1"/>
      <c r="Q51" s="1"/>
      <c r="R51" s="1"/>
      <c r="S51" s="1"/>
      <c r="T51" s="1"/>
      <c r="U51" s="1"/>
      <c r="V51" s="1"/>
      <c r="W51" s="1"/>
      <c r="X51" s="1"/>
      <c r="Y51" s="1"/>
      <c r="Z51" s="1"/>
    </row>
    <row r="52" spans="1:26" ht="30" customHeight="1">
      <c r="A52" s="3" t="s">
        <v>624</v>
      </c>
      <c r="B52" s="3" t="s">
        <v>301</v>
      </c>
      <c r="C52" s="3" t="s">
        <v>625</v>
      </c>
      <c r="D52" s="3" t="s">
        <v>626</v>
      </c>
      <c r="E52" s="3" t="s">
        <v>630</v>
      </c>
      <c r="F52" s="3" t="s">
        <v>631</v>
      </c>
      <c r="G52" s="3" t="s">
        <v>632</v>
      </c>
      <c r="H52" s="3">
        <v>20</v>
      </c>
      <c r="I52" s="3" t="s">
        <v>169</v>
      </c>
      <c r="J52" s="3" t="s">
        <v>633</v>
      </c>
      <c r="K52" s="1"/>
      <c r="L52" s="1"/>
      <c r="M52" s="1"/>
      <c r="N52" s="1"/>
      <c r="O52" s="1"/>
      <c r="P52" s="1"/>
      <c r="Q52" s="1"/>
      <c r="R52" s="1"/>
      <c r="S52" s="1"/>
      <c r="T52" s="1"/>
      <c r="U52" s="1"/>
      <c r="V52" s="1"/>
      <c r="W52" s="1"/>
      <c r="X52" s="1"/>
      <c r="Y52" s="1"/>
      <c r="Z52" s="1"/>
    </row>
    <row r="53" spans="1:26" ht="30" customHeight="1">
      <c r="A53" s="3" t="s">
        <v>624</v>
      </c>
      <c r="B53" s="3" t="s">
        <v>301</v>
      </c>
      <c r="C53" s="3" t="s">
        <v>625</v>
      </c>
      <c r="D53" s="3" t="s">
        <v>626</v>
      </c>
      <c r="E53" s="3" t="s">
        <v>634</v>
      </c>
      <c r="F53" s="3" t="s">
        <v>635</v>
      </c>
      <c r="G53" s="3" t="s">
        <v>636</v>
      </c>
      <c r="H53" s="3">
        <v>20</v>
      </c>
      <c r="I53" s="3" t="s">
        <v>169</v>
      </c>
      <c r="J53" s="3" t="s">
        <v>637</v>
      </c>
      <c r="K53" s="1"/>
      <c r="L53" s="1"/>
      <c r="M53" s="1"/>
      <c r="N53" s="1"/>
      <c r="O53" s="1"/>
      <c r="P53" s="1"/>
      <c r="Q53" s="1"/>
      <c r="R53" s="1"/>
      <c r="S53" s="1"/>
      <c r="T53" s="1"/>
      <c r="U53" s="1"/>
      <c r="V53" s="1"/>
      <c r="W53" s="1"/>
      <c r="X53" s="1"/>
      <c r="Y53" s="1"/>
      <c r="Z53" s="1"/>
    </row>
    <row r="54" spans="1:26" ht="30" customHeight="1">
      <c r="A54" s="3" t="s">
        <v>624</v>
      </c>
      <c r="B54" s="3" t="s">
        <v>301</v>
      </c>
      <c r="C54" s="3" t="s">
        <v>625</v>
      </c>
      <c r="D54" s="3" t="s">
        <v>626</v>
      </c>
      <c r="E54" s="3" t="s">
        <v>638</v>
      </c>
      <c r="F54" s="3" t="s">
        <v>639</v>
      </c>
      <c r="G54" s="3" t="s">
        <v>640</v>
      </c>
      <c r="H54" s="3">
        <v>20</v>
      </c>
      <c r="I54" s="3" t="s">
        <v>641</v>
      </c>
      <c r="J54" s="3" t="s">
        <v>642</v>
      </c>
      <c r="K54" s="1"/>
      <c r="L54" s="1"/>
      <c r="M54" s="1"/>
      <c r="N54" s="1"/>
      <c r="O54" s="1"/>
      <c r="P54" s="1"/>
      <c r="Q54" s="1"/>
      <c r="R54" s="1"/>
      <c r="S54" s="1"/>
      <c r="T54" s="1"/>
      <c r="U54" s="1"/>
      <c r="V54" s="1"/>
      <c r="W54" s="1"/>
      <c r="X54" s="1"/>
      <c r="Y54" s="1"/>
      <c r="Z54" s="1"/>
    </row>
    <row r="55" spans="1:26" ht="30" customHeight="1">
      <c r="A55" s="3" t="s">
        <v>624</v>
      </c>
      <c r="B55" s="3" t="s">
        <v>301</v>
      </c>
      <c r="C55" s="3" t="s">
        <v>625</v>
      </c>
      <c r="D55" s="3" t="s">
        <v>626</v>
      </c>
      <c r="E55" s="3" t="s">
        <v>433</v>
      </c>
      <c r="F55" s="3" t="s">
        <v>643</v>
      </c>
      <c r="G55" s="3" t="s">
        <v>578</v>
      </c>
      <c r="H55" s="3">
        <v>10</v>
      </c>
      <c r="I55" s="3" t="s">
        <v>250</v>
      </c>
      <c r="J55" s="3" t="s">
        <v>557</v>
      </c>
      <c r="K55" s="1"/>
      <c r="L55" s="1"/>
      <c r="M55" s="1"/>
      <c r="N55" s="1"/>
      <c r="O55" s="1"/>
      <c r="P55" s="1"/>
      <c r="Q55" s="1"/>
      <c r="R55" s="1"/>
      <c r="S55" s="1"/>
      <c r="T55" s="1"/>
      <c r="U55" s="1"/>
      <c r="V55" s="1"/>
      <c r="W55" s="1"/>
      <c r="X55" s="1"/>
      <c r="Y55" s="1"/>
      <c r="Z55" s="1"/>
    </row>
    <row r="56" spans="1:26" ht="30" customHeight="1">
      <c r="A56" s="3" t="s">
        <v>644</v>
      </c>
      <c r="B56" s="3" t="s">
        <v>307</v>
      </c>
      <c r="C56" s="3" t="s">
        <v>645</v>
      </c>
      <c r="D56" s="3" t="s">
        <v>646</v>
      </c>
      <c r="E56" s="3" t="s">
        <v>647</v>
      </c>
      <c r="F56" s="3" t="s">
        <v>648</v>
      </c>
      <c r="G56" s="3" t="s">
        <v>649</v>
      </c>
      <c r="H56" s="3">
        <v>15</v>
      </c>
      <c r="I56" s="3" t="s">
        <v>650</v>
      </c>
      <c r="J56" s="3" t="s">
        <v>651</v>
      </c>
      <c r="K56" s="1"/>
      <c r="L56" s="1"/>
      <c r="M56" s="1"/>
      <c r="N56" s="1"/>
      <c r="O56" s="1"/>
      <c r="P56" s="1"/>
      <c r="Q56" s="1"/>
      <c r="R56" s="1"/>
      <c r="S56" s="1"/>
      <c r="T56" s="1"/>
      <c r="U56" s="1"/>
      <c r="V56" s="1"/>
      <c r="W56" s="1"/>
      <c r="X56" s="1"/>
      <c r="Y56" s="1"/>
      <c r="Z56" s="1"/>
    </row>
    <row r="57" spans="1:26" ht="30" customHeight="1">
      <c r="A57" s="3" t="s">
        <v>644</v>
      </c>
      <c r="B57" s="3" t="s">
        <v>307</v>
      </c>
      <c r="C57" s="3" t="s">
        <v>645</v>
      </c>
      <c r="D57" s="3" t="s">
        <v>646</v>
      </c>
      <c r="E57" s="3" t="s">
        <v>652</v>
      </c>
      <c r="F57" s="3" t="s">
        <v>653</v>
      </c>
      <c r="G57" s="3" t="s">
        <v>654</v>
      </c>
      <c r="H57" s="3">
        <v>25</v>
      </c>
      <c r="I57" s="3" t="s">
        <v>182</v>
      </c>
      <c r="J57" s="3" t="s">
        <v>655</v>
      </c>
      <c r="K57" s="1"/>
      <c r="L57" s="1"/>
      <c r="M57" s="1"/>
      <c r="N57" s="1"/>
      <c r="O57" s="1"/>
      <c r="P57" s="1"/>
      <c r="Q57" s="1"/>
      <c r="R57" s="1"/>
      <c r="S57" s="1"/>
      <c r="T57" s="1"/>
      <c r="U57" s="1"/>
      <c r="V57" s="1"/>
      <c r="W57" s="1"/>
      <c r="X57" s="1"/>
      <c r="Y57" s="1"/>
      <c r="Z57" s="1"/>
    </row>
    <row r="58" spans="1:26" ht="30" customHeight="1">
      <c r="A58" s="3" t="s">
        <v>644</v>
      </c>
      <c r="B58" s="3" t="s">
        <v>307</v>
      </c>
      <c r="C58" s="3" t="s">
        <v>645</v>
      </c>
      <c r="D58" s="3" t="s">
        <v>646</v>
      </c>
      <c r="E58" s="3" t="s">
        <v>656</v>
      </c>
      <c r="F58" s="3" t="s">
        <v>657</v>
      </c>
      <c r="G58" s="3" t="s">
        <v>658</v>
      </c>
      <c r="H58" s="3">
        <v>20</v>
      </c>
      <c r="I58" s="3" t="s">
        <v>182</v>
      </c>
      <c r="J58" s="3" t="s">
        <v>659</v>
      </c>
      <c r="K58" s="1"/>
      <c r="L58" s="1"/>
      <c r="M58" s="1"/>
      <c r="N58" s="1"/>
      <c r="O58" s="1"/>
      <c r="P58" s="1"/>
      <c r="Q58" s="1"/>
      <c r="R58" s="1"/>
      <c r="S58" s="1"/>
      <c r="T58" s="1"/>
      <c r="U58" s="1"/>
      <c r="V58" s="1"/>
      <c r="W58" s="1"/>
      <c r="X58" s="1"/>
      <c r="Y58" s="1"/>
      <c r="Z58" s="1"/>
    </row>
    <row r="59" spans="1:26" ht="30" customHeight="1">
      <c r="A59" s="3" t="s">
        <v>644</v>
      </c>
      <c r="B59" s="3" t="s">
        <v>307</v>
      </c>
      <c r="C59" s="3" t="s">
        <v>645</v>
      </c>
      <c r="D59" s="3" t="s">
        <v>646</v>
      </c>
      <c r="E59" s="3" t="s">
        <v>660</v>
      </c>
      <c r="F59" s="3" t="s">
        <v>661</v>
      </c>
      <c r="G59" s="3" t="s">
        <v>662</v>
      </c>
      <c r="H59" s="3">
        <v>15</v>
      </c>
      <c r="I59" s="3" t="s">
        <v>194</v>
      </c>
      <c r="J59" s="3" t="s">
        <v>663</v>
      </c>
      <c r="K59" s="1"/>
      <c r="L59" s="1"/>
      <c r="M59" s="1"/>
      <c r="N59" s="1"/>
      <c r="O59" s="1"/>
      <c r="P59" s="1"/>
      <c r="Q59" s="1"/>
      <c r="R59" s="1"/>
      <c r="S59" s="1"/>
      <c r="T59" s="1"/>
      <c r="U59" s="1"/>
      <c r="V59" s="1"/>
      <c r="W59" s="1"/>
      <c r="X59" s="1"/>
      <c r="Y59" s="1"/>
      <c r="Z59" s="1"/>
    </row>
    <row r="60" spans="1:26" ht="30" customHeight="1">
      <c r="A60" s="3" t="s">
        <v>644</v>
      </c>
      <c r="B60" s="3" t="s">
        <v>307</v>
      </c>
      <c r="C60" s="3" t="s">
        <v>645</v>
      </c>
      <c r="D60" s="3" t="s">
        <v>646</v>
      </c>
      <c r="E60" s="3" t="s">
        <v>433</v>
      </c>
      <c r="F60" s="3" t="s">
        <v>664</v>
      </c>
      <c r="G60" s="3" t="s">
        <v>665</v>
      </c>
      <c r="H60" s="3">
        <v>10</v>
      </c>
      <c r="I60" s="3" t="s">
        <v>250</v>
      </c>
      <c r="J60" s="3" t="s">
        <v>623</v>
      </c>
      <c r="K60" s="1"/>
      <c r="L60" s="1"/>
      <c r="M60" s="1"/>
      <c r="N60" s="1"/>
      <c r="O60" s="1"/>
      <c r="P60" s="1"/>
      <c r="Q60" s="1"/>
      <c r="R60" s="1"/>
      <c r="S60" s="1"/>
      <c r="T60" s="1"/>
      <c r="U60" s="1"/>
      <c r="V60" s="1"/>
      <c r="W60" s="1"/>
      <c r="X60" s="1"/>
      <c r="Y60" s="1"/>
      <c r="Z60" s="1"/>
    </row>
    <row r="61" spans="1:26" ht="30" customHeight="1">
      <c r="A61" s="3" t="s">
        <v>666</v>
      </c>
      <c r="B61" s="3" t="s">
        <v>667</v>
      </c>
      <c r="C61" s="3" t="s">
        <v>668</v>
      </c>
      <c r="D61" s="3" t="s">
        <v>669</v>
      </c>
      <c r="E61" s="3" t="s">
        <v>670</v>
      </c>
      <c r="F61" s="3" t="s">
        <v>671</v>
      </c>
      <c r="G61" s="3" t="s">
        <v>672</v>
      </c>
      <c r="H61" s="3">
        <v>20</v>
      </c>
      <c r="I61" s="3" t="s">
        <v>673</v>
      </c>
      <c r="J61" s="3" t="s">
        <v>674</v>
      </c>
      <c r="K61" s="1"/>
      <c r="L61" s="1"/>
      <c r="M61" s="1"/>
      <c r="N61" s="1"/>
      <c r="O61" s="1"/>
      <c r="P61" s="1"/>
      <c r="Q61" s="1"/>
      <c r="R61" s="1"/>
      <c r="S61" s="1"/>
      <c r="T61" s="1"/>
      <c r="U61" s="1"/>
      <c r="V61" s="1"/>
      <c r="W61" s="1"/>
      <c r="X61" s="1"/>
      <c r="Y61" s="1"/>
      <c r="Z61" s="1"/>
    </row>
    <row r="62" spans="1:26" ht="30" customHeight="1">
      <c r="A62" s="3" t="s">
        <v>666</v>
      </c>
      <c r="B62" s="3" t="s">
        <v>667</v>
      </c>
      <c r="C62" s="3" t="s">
        <v>668</v>
      </c>
      <c r="D62" s="3" t="s">
        <v>669</v>
      </c>
      <c r="E62" s="3" t="s">
        <v>675</v>
      </c>
      <c r="F62" s="3" t="s">
        <v>676</v>
      </c>
      <c r="G62" s="3" t="s">
        <v>677</v>
      </c>
      <c r="H62" s="3">
        <v>20</v>
      </c>
      <c r="I62" s="3" t="s">
        <v>673</v>
      </c>
      <c r="J62" s="3" t="s">
        <v>678</v>
      </c>
      <c r="K62" s="1"/>
      <c r="L62" s="1"/>
      <c r="M62" s="1"/>
      <c r="N62" s="1"/>
      <c r="O62" s="1"/>
      <c r="P62" s="1"/>
      <c r="Q62" s="1"/>
      <c r="R62" s="1"/>
      <c r="S62" s="1"/>
      <c r="T62" s="1"/>
      <c r="U62" s="1"/>
      <c r="V62" s="1"/>
      <c r="W62" s="1"/>
      <c r="X62" s="1"/>
      <c r="Y62" s="1"/>
      <c r="Z62" s="1"/>
    </row>
    <row r="63" spans="1:26" ht="30" customHeight="1">
      <c r="A63" s="3" t="s">
        <v>666</v>
      </c>
      <c r="B63" s="3" t="s">
        <v>667</v>
      </c>
      <c r="C63" s="3" t="s">
        <v>668</v>
      </c>
      <c r="D63" s="3" t="s">
        <v>669</v>
      </c>
      <c r="E63" s="3" t="s">
        <v>679</v>
      </c>
      <c r="F63" s="3" t="s">
        <v>680</v>
      </c>
      <c r="G63" s="3" t="s">
        <v>681</v>
      </c>
      <c r="H63" s="3">
        <v>15</v>
      </c>
      <c r="I63" s="3" t="s">
        <v>682</v>
      </c>
      <c r="J63" s="3" t="s">
        <v>683</v>
      </c>
      <c r="K63" s="1"/>
      <c r="L63" s="1"/>
      <c r="M63" s="1"/>
      <c r="N63" s="1"/>
      <c r="O63" s="1"/>
      <c r="P63" s="1"/>
      <c r="Q63" s="1"/>
      <c r="R63" s="1"/>
      <c r="S63" s="1"/>
      <c r="T63" s="1"/>
      <c r="U63" s="1"/>
      <c r="V63" s="1"/>
      <c r="W63" s="1"/>
      <c r="X63" s="1"/>
      <c r="Y63" s="1"/>
      <c r="Z63" s="1"/>
    </row>
    <row r="64" spans="1:26" ht="30" customHeight="1">
      <c r="A64" s="3" t="s">
        <v>666</v>
      </c>
      <c r="B64" s="3" t="s">
        <v>667</v>
      </c>
      <c r="C64" s="3" t="s">
        <v>668</v>
      </c>
      <c r="D64" s="3" t="s">
        <v>669</v>
      </c>
      <c r="E64" s="3" t="s">
        <v>684</v>
      </c>
      <c r="F64" s="3" t="s">
        <v>685</v>
      </c>
      <c r="G64" s="3" t="s">
        <v>686</v>
      </c>
      <c r="H64" s="3">
        <v>20</v>
      </c>
      <c r="I64" s="3" t="s">
        <v>479</v>
      </c>
      <c r="J64" s="3" t="s">
        <v>687</v>
      </c>
      <c r="K64" s="1"/>
      <c r="L64" s="1"/>
      <c r="M64" s="1"/>
      <c r="N64" s="1"/>
      <c r="O64" s="1"/>
      <c r="P64" s="1"/>
      <c r="Q64" s="1"/>
      <c r="R64" s="1"/>
      <c r="S64" s="1"/>
      <c r="T64" s="1"/>
      <c r="U64" s="1"/>
      <c r="V64" s="1"/>
      <c r="W64" s="1"/>
      <c r="X64" s="1"/>
      <c r="Y64" s="1"/>
      <c r="Z64" s="1"/>
    </row>
    <row r="65" spans="1:26" ht="30" customHeight="1">
      <c r="A65" s="3" t="s">
        <v>666</v>
      </c>
      <c r="B65" s="3" t="s">
        <v>667</v>
      </c>
      <c r="C65" s="3" t="s">
        <v>668</v>
      </c>
      <c r="D65" s="3" t="s">
        <v>669</v>
      </c>
      <c r="E65" s="3" t="s">
        <v>433</v>
      </c>
      <c r="F65" s="3" t="s">
        <v>688</v>
      </c>
      <c r="G65" s="3" t="s">
        <v>623</v>
      </c>
      <c r="H65" s="3">
        <v>10</v>
      </c>
      <c r="I65" s="3" t="s">
        <v>250</v>
      </c>
      <c r="J65" s="3" t="s">
        <v>557</v>
      </c>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B10-9E45-460A-83DD-4C96D3CDE343}">
  <dimension ref="A1:Q15"/>
  <sheetViews>
    <sheetView tabSelected="1" zoomScale="85" zoomScaleNormal="85" workbookViewId="0">
      <selection activeCell="A8" sqref="A8:XFD8"/>
    </sheetView>
  </sheetViews>
  <sheetFormatPr defaultRowHeight="14.25"/>
  <cols>
    <col min="1" max="1" width="5.5" customWidth="1"/>
    <col min="2" max="2" width="16.875" customWidth="1"/>
    <col min="3" max="3" width="22" customWidth="1"/>
    <col min="4" max="4" width="27.5" customWidth="1"/>
    <col min="5" max="6" width="28.375" customWidth="1"/>
    <col min="7" max="7" width="38.875" customWidth="1"/>
    <col min="8" max="8" width="23.875" hidden="1" customWidth="1"/>
    <col min="9" max="9" width="11" hidden="1" customWidth="1"/>
    <col min="10" max="10" width="12.875" customWidth="1"/>
    <col min="11" max="11" width="12.875" hidden="1" customWidth="1"/>
    <col min="12" max="13" width="11.875" hidden="1" customWidth="1"/>
    <col min="14" max="14" width="13.625" hidden="1" customWidth="1"/>
    <col min="15" max="15" width="9.875" hidden="1" customWidth="1"/>
    <col min="16" max="16" width="14.625" hidden="1" customWidth="1"/>
    <col min="17" max="17" width="31.125" hidden="1" customWidth="1"/>
  </cols>
  <sheetData>
    <row r="1" spans="1:17" ht="18.75">
      <c r="A1" s="222" t="s">
        <v>315</v>
      </c>
      <c r="B1" s="223"/>
      <c r="C1" s="223"/>
      <c r="D1" s="223"/>
      <c r="E1" s="223"/>
      <c r="F1" s="223"/>
      <c r="G1" s="223"/>
      <c r="H1" s="223"/>
      <c r="I1" s="223"/>
      <c r="J1" s="223"/>
      <c r="K1" s="223"/>
      <c r="L1" s="223"/>
      <c r="M1" s="223"/>
      <c r="N1" s="223"/>
      <c r="O1" s="223"/>
      <c r="P1" s="223"/>
      <c r="Q1" s="223"/>
    </row>
    <row r="2" spans="1:17" s="100" customFormat="1"/>
    <row r="3" spans="1:17">
      <c r="A3" s="224" t="s">
        <v>317</v>
      </c>
      <c r="B3" s="223"/>
      <c r="C3" s="223"/>
      <c r="D3" s="223"/>
      <c r="E3" s="223"/>
      <c r="F3" s="223"/>
      <c r="G3" s="223"/>
      <c r="H3" s="223"/>
      <c r="I3" s="223"/>
      <c r="J3" s="223"/>
      <c r="K3" s="223"/>
      <c r="L3" s="223"/>
      <c r="M3" s="223"/>
      <c r="N3" s="223"/>
      <c r="O3" s="223"/>
      <c r="P3" s="223"/>
      <c r="Q3" s="223"/>
    </row>
    <row r="4" spans="1:17">
      <c r="A4" s="225" t="s">
        <v>318</v>
      </c>
      <c r="B4" s="220"/>
      <c r="C4" s="220"/>
      <c r="D4" s="221"/>
      <c r="F4" s="226" t="s">
        <v>689</v>
      </c>
      <c r="G4" s="220"/>
      <c r="H4" s="220"/>
      <c r="I4" s="221"/>
      <c r="K4" s="220"/>
      <c r="L4" s="221"/>
      <c r="N4" s="225" t="s">
        <v>320</v>
      </c>
      <c r="O4" s="220"/>
      <c r="P4" s="220"/>
      <c r="Q4" s="221"/>
    </row>
    <row r="5" spans="1:17">
      <c r="A5" s="219">
        <f>COUNTA($D$8:$D$15)</f>
        <v>8</v>
      </c>
      <c r="B5" s="220"/>
      <c r="C5" s="220"/>
      <c r="D5" s="221"/>
      <c r="F5" s="219">
        <v>4</v>
      </c>
      <c r="G5" s="220"/>
      <c r="H5" s="220"/>
      <c r="I5" s="221"/>
      <c r="K5" s="220"/>
      <c r="L5" s="221"/>
      <c r="N5" s="219">
        <v>14</v>
      </c>
      <c r="O5" s="220"/>
      <c r="P5" s="220"/>
      <c r="Q5" s="221"/>
    </row>
    <row r="7" spans="1:17" ht="27">
      <c r="A7" s="20" t="s">
        <v>321</v>
      </c>
      <c r="B7" s="20" t="s">
        <v>29</v>
      </c>
      <c r="C7" s="20" t="s">
        <v>322</v>
      </c>
      <c r="D7" s="20" t="s">
        <v>323</v>
      </c>
      <c r="E7" s="20" t="s">
        <v>690</v>
      </c>
      <c r="F7" s="57" t="s">
        <v>325</v>
      </c>
      <c r="G7" s="57" t="s">
        <v>406</v>
      </c>
      <c r="H7" s="20" t="s">
        <v>327</v>
      </c>
      <c r="I7" s="20" t="s">
        <v>328</v>
      </c>
      <c r="J7" s="20" t="s">
        <v>329</v>
      </c>
      <c r="K7" s="20" t="s">
        <v>330</v>
      </c>
      <c r="L7" s="20" t="s">
        <v>331</v>
      </c>
      <c r="M7" s="20" t="s">
        <v>332</v>
      </c>
      <c r="N7" s="20" t="s">
        <v>333</v>
      </c>
      <c r="O7" s="20" t="s">
        <v>240</v>
      </c>
      <c r="P7" s="20" t="s">
        <v>334</v>
      </c>
      <c r="Q7" s="57" t="s">
        <v>335</v>
      </c>
    </row>
    <row r="8" spans="1:17" s="94" customFormat="1" ht="81">
      <c r="A8" s="89">
        <v>4</v>
      </c>
      <c r="B8" s="90" t="s">
        <v>44</v>
      </c>
      <c r="C8" s="90" t="s">
        <v>336</v>
      </c>
      <c r="D8" s="91" t="s">
        <v>355</v>
      </c>
      <c r="E8" s="91" t="s">
        <v>691</v>
      </c>
      <c r="F8" s="96" t="s">
        <v>692</v>
      </c>
      <c r="G8" s="91" t="s">
        <v>693</v>
      </c>
      <c r="H8" s="91" t="s">
        <v>359</v>
      </c>
      <c r="I8" s="90" t="s">
        <v>360</v>
      </c>
      <c r="J8" s="24">
        <v>46292</v>
      </c>
      <c r="K8" s="92">
        <v>46219</v>
      </c>
      <c r="L8" s="92">
        <f t="shared" ref="L8:L15" si="0">IF(ISBLANK($J8),"",WORKDAY($J8,-1))</f>
        <v>46290</v>
      </c>
      <c r="M8" s="92">
        <f t="shared" ref="M8:M15" si="1">IF(ISBLANK($J8),"",WORKDAY($J8,1))</f>
        <v>46293</v>
      </c>
      <c r="N8" s="93" t="s">
        <v>343</v>
      </c>
      <c r="O8" s="93" t="s">
        <v>353</v>
      </c>
      <c r="P8" s="89" t="s">
        <v>345</v>
      </c>
      <c r="Q8" s="91"/>
    </row>
    <row r="9" spans="1:17" s="94" customFormat="1" ht="81">
      <c r="A9" s="89">
        <v>5</v>
      </c>
      <c r="B9" s="95" t="s">
        <v>44</v>
      </c>
      <c r="C9" s="90" t="s">
        <v>336</v>
      </c>
      <c r="D9" s="91" t="s">
        <v>362</v>
      </c>
      <c r="E9" s="91" t="s">
        <v>691</v>
      </c>
      <c r="F9" s="96" t="s">
        <v>692</v>
      </c>
      <c r="G9" s="91" t="s">
        <v>365</v>
      </c>
      <c r="H9" s="91" t="s">
        <v>366</v>
      </c>
      <c r="I9" s="90" t="s">
        <v>360</v>
      </c>
      <c r="J9" s="24">
        <v>46292</v>
      </c>
      <c r="K9" s="92">
        <v>46219</v>
      </c>
      <c r="L9" s="92">
        <f>IF(ISBLANK($J9),"",WORKDAY($J9,-1))</f>
        <v>46290</v>
      </c>
      <c r="M9" s="92">
        <f>IF(ISBLANK($J9),"",WORKDAY($J9,1))</f>
        <v>46293</v>
      </c>
      <c r="N9" s="93" t="s">
        <v>343</v>
      </c>
      <c r="O9" s="93" t="s">
        <v>353</v>
      </c>
      <c r="P9" s="89" t="s">
        <v>345</v>
      </c>
      <c r="Q9" s="91"/>
    </row>
    <row r="10" spans="1:17" s="94" customFormat="1" ht="81">
      <c r="A10" s="89">
        <v>6</v>
      </c>
      <c r="B10" s="95" t="s">
        <v>44</v>
      </c>
      <c r="C10" s="90" t="s">
        <v>336</v>
      </c>
      <c r="D10" s="91" t="s">
        <v>368</v>
      </c>
      <c r="E10" s="91" t="s">
        <v>691</v>
      </c>
      <c r="F10" s="91" t="s">
        <v>370</v>
      </c>
      <c r="G10" s="91" t="s">
        <v>694</v>
      </c>
      <c r="H10" s="91" t="s">
        <v>372</v>
      </c>
      <c r="I10" s="90" t="s">
        <v>360</v>
      </c>
      <c r="J10" s="24">
        <v>46292</v>
      </c>
      <c r="K10" s="92">
        <v>46219</v>
      </c>
      <c r="L10" s="92">
        <f t="shared" si="0"/>
        <v>46290</v>
      </c>
      <c r="M10" s="92">
        <f t="shared" si="1"/>
        <v>46293</v>
      </c>
      <c r="N10" s="93" t="s">
        <v>343</v>
      </c>
      <c r="O10" s="93" t="s">
        <v>353</v>
      </c>
      <c r="P10" s="89" t="s">
        <v>345</v>
      </c>
      <c r="Q10" s="91"/>
    </row>
    <row r="11" spans="1:17" s="94" customFormat="1" ht="81">
      <c r="A11" s="89">
        <v>7</v>
      </c>
      <c r="B11" s="95" t="s">
        <v>44</v>
      </c>
      <c r="C11" s="90" t="s">
        <v>336</v>
      </c>
      <c r="D11" s="91" t="s">
        <v>375</v>
      </c>
      <c r="E11" s="91" t="s">
        <v>691</v>
      </c>
      <c r="F11" s="91" t="s">
        <v>377</v>
      </c>
      <c r="G11" s="91" t="s">
        <v>378</v>
      </c>
      <c r="H11" s="91" t="s">
        <v>379</v>
      </c>
      <c r="I11" s="90" t="s">
        <v>360</v>
      </c>
      <c r="J11" s="24">
        <v>46292</v>
      </c>
      <c r="K11" s="92">
        <v>46219</v>
      </c>
      <c r="L11" s="92">
        <f t="shared" si="0"/>
        <v>46290</v>
      </c>
      <c r="M11" s="92">
        <f t="shared" si="1"/>
        <v>46293</v>
      </c>
      <c r="N11" s="93" t="s">
        <v>343</v>
      </c>
      <c r="O11" s="93" t="s">
        <v>353</v>
      </c>
      <c r="P11" s="89" t="s">
        <v>345</v>
      </c>
      <c r="Q11" s="91"/>
    </row>
    <row r="12" spans="1:17" ht="164.45" customHeight="1">
      <c r="A12" s="39">
        <v>8</v>
      </c>
      <c r="B12" s="88" t="s">
        <v>44</v>
      </c>
      <c r="C12" s="40" t="s">
        <v>336</v>
      </c>
      <c r="D12" s="41" t="s">
        <v>97</v>
      </c>
      <c r="E12" s="98" t="s">
        <v>695</v>
      </c>
      <c r="F12" s="41" t="s">
        <v>382</v>
      </c>
      <c r="G12" s="41" t="s">
        <v>696</v>
      </c>
      <c r="H12" s="41" t="s">
        <v>384</v>
      </c>
      <c r="I12" s="22" t="s">
        <v>360</v>
      </c>
      <c r="J12" s="42">
        <v>46295</v>
      </c>
      <c r="K12" s="43">
        <v>46222</v>
      </c>
      <c r="L12" s="43">
        <f t="shared" si="0"/>
        <v>46294</v>
      </c>
      <c r="M12" s="43">
        <f t="shared" si="1"/>
        <v>46296</v>
      </c>
      <c r="N12" s="44" t="s">
        <v>343</v>
      </c>
      <c r="O12" s="44" t="s">
        <v>353</v>
      </c>
      <c r="P12" s="39" t="s">
        <v>345</v>
      </c>
      <c r="Q12" s="23"/>
    </row>
    <row r="13" spans="1:17" ht="165" customHeight="1">
      <c r="A13" s="21">
        <v>9</v>
      </c>
      <c r="B13" s="88" t="s">
        <v>44</v>
      </c>
      <c r="C13" s="22" t="s">
        <v>336</v>
      </c>
      <c r="D13" s="23" t="s">
        <v>386</v>
      </c>
      <c r="E13" s="41" t="s">
        <v>695</v>
      </c>
      <c r="F13" s="23" t="s">
        <v>388</v>
      </c>
      <c r="G13" s="41" t="s">
        <v>696</v>
      </c>
      <c r="H13" s="23" t="s">
        <v>390</v>
      </c>
      <c r="I13" s="22" t="s">
        <v>360</v>
      </c>
      <c r="J13" s="42">
        <v>46295</v>
      </c>
      <c r="K13" s="43">
        <v>46222</v>
      </c>
      <c r="L13" s="25">
        <f t="shared" si="0"/>
        <v>46294</v>
      </c>
      <c r="M13" s="25">
        <f t="shared" si="1"/>
        <v>46296</v>
      </c>
      <c r="N13" s="26" t="s">
        <v>343</v>
      </c>
      <c r="O13" s="26" t="s">
        <v>353</v>
      </c>
      <c r="P13" s="21" t="s">
        <v>345</v>
      </c>
      <c r="Q13" s="23"/>
    </row>
    <row r="14" spans="1:17" ht="175.5">
      <c r="A14" s="21">
        <v>10</v>
      </c>
      <c r="B14" s="97" t="s">
        <v>697</v>
      </c>
      <c r="C14" s="22" t="s">
        <v>336</v>
      </c>
      <c r="D14" s="23" t="s">
        <v>392</v>
      </c>
      <c r="E14" s="99" t="s">
        <v>698</v>
      </c>
      <c r="F14" s="23" t="s">
        <v>394</v>
      </c>
      <c r="G14" s="23" t="s">
        <v>696</v>
      </c>
      <c r="H14" s="23" t="s">
        <v>396</v>
      </c>
      <c r="I14" s="22" t="s">
        <v>360</v>
      </c>
      <c r="J14" s="45">
        <v>46295</v>
      </c>
      <c r="K14" s="46">
        <v>46222</v>
      </c>
      <c r="L14" s="25">
        <f t="shared" si="0"/>
        <v>46294</v>
      </c>
      <c r="M14" s="25">
        <f t="shared" si="1"/>
        <v>46296</v>
      </c>
      <c r="N14" s="26" t="s">
        <v>343</v>
      </c>
      <c r="O14" s="26" t="s">
        <v>353</v>
      </c>
      <c r="P14" s="21" t="s">
        <v>345</v>
      </c>
      <c r="Q14" s="23" t="s">
        <v>391</v>
      </c>
    </row>
    <row r="15" spans="1:17" ht="212.45" customHeight="1">
      <c r="A15" s="47">
        <v>11</v>
      </c>
      <c r="B15" s="209" t="s">
        <v>697</v>
      </c>
      <c r="C15" s="48" t="s">
        <v>336</v>
      </c>
      <c r="D15" s="49" t="s">
        <v>397</v>
      </c>
      <c r="E15" s="210" t="s">
        <v>698</v>
      </c>
      <c r="F15" s="49" t="s">
        <v>399</v>
      </c>
      <c r="G15" s="49" t="s">
        <v>699</v>
      </c>
      <c r="H15" s="49" t="s">
        <v>401</v>
      </c>
      <c r="I15" s="48" t="s">
        <v>360</v>
      </c>
      <c r="J15" s="211">
        <v>46295</v>
      </c>
      <c r="K15" s="212">
        <v>46222</v>
      </c>
      <c r="L15" s="50">
        <f t="shared" si="0"/>
        <v>46294</v>
      </c>
      <c r="M15" s="50">
        <f t="shared" si="1"/>
        <v>46296</v>
      </c>
      <c r="N15" s="51" t="s">
        <v>343</v>
      </c>
      <c r="O15" s="44" t="s">
        <v>353</v>
      </c>
      <c r="P15" s="47" t="s">
        <v>345</v>
      </c>
      <c r="Q15" s="49" t="s">
        <v>402</v>
      </c>
    </row>
  </sheetData>
  <mergeCells count="10">
    <mergeCell ref="A5:D5"/>
    <mergeCell ref="F5:I5"/>
    <mergeCell ref="K5:L5"/>
    <mergeCell ref="N5:Q5"/>
    <mergeCell ref="A1:Q1"/>
    <mergeCell ref="A3:Q3"/>
    <mergeCell ref="A4:D4"/>
    <mergeCell ref="F4:I4"/>
    <mergeCell ref="K4:L4"/>
    <mergeCell ref="N4:Q4"/>
  </mergeCells>
  <phoneticPr fontId="30" type="noConversion"/>
  <conditionalFormatting sqref="B8:B15">
    <cfRule type="expression" dxfId="44" priority="13">
      <formula>EXACT($B8,"High")</formula>
    </cfRule>
    <cfRule type="expression" dxfId="43" priority="14">
      <formula>EXACT($B8,"Medium")</formula>
    </cfRule>
    <cfRule type="expression" dxfId="42" priority="15">
      <formula>EXACT($B8,"Low")</formula>
    </cfRule>
  </conditionalFormatting>
  <conditionalFormatting sqref="O8:O15">
    <cfRule type="expression" dxfId="41" priority="1">
      <formula>EXACT($O8,"Completed")</formula>
    </cfRule>
    <cfRule type="expression" dxfId="40" priority="2">
      <formula>EXACT($O8,"Scheduled")</formula>
    </cfRule>
    <cfRule type="expression" dxfId="39" priority="3">
      <formula>EXACT($O8,"Client review")</formula>
    </cfRule>
    <cfRule type="expression" dxfId="38" priority="4">
      <formula>EXACT($O8,"Ready to schedule")</formula>
    </cfRule>
    <cfRule type="expression" dxfId="37" priority="5">
      <formula>EXACT($O8,"On hold")</formula>
    </cfRule>
    <cfRule type="expression" dxfId="36" priority="6">
      <formula>EXACT($O8,"Not started")</formula>
    </cfRule>
    <cfRule type="expression" dxfId="35" priority="7">
      <formula>EXACT($O8,"Completed")</formula>
    </cfRule>
    <cfRule type="expression" dxfId="34" priority="8">
      <formula>EXACT($O8,"Scheduled")</formula>
    </cfRule>
    <cfRule type="expression" dxfId="33" priority="9">
      <formula>EXACT($O8,"Client review")</formula>
    </cfRule>
    <cfRule type="expression" dxfId="32" priority="10">
      <formula>EXACT($O8,"Ready to schedule")</formula>
    </cfRule>
    <cfRule type="expression" dxfId="31" priority="11">
      <formula>EXACT($O8,"On hold")</formula>
    </cfRule>
    <cfRule type="expression" dxfId="30" priority="12">
      <formula>EXACT($O8,"Not started")</formula>
    </cfRule>
  </conditionalFormatting>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7CB1E-FF0A-4D81-A713-04B3DC80FA17}">
  <dimension ref="A1"/>
  <sheetViews>
    <sheetView workbookViewId="0"/>
  </sheetViews>
  <sheetFormatPr defaultRowHeight="14.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92"/>
  <sheetViews>
    <sheetView topLeftCell="F1" zoomScale="70" zoomScaleNormal="70" workbookViewId="0">
      <selection activeCell="F16" sqref="F16:G16"/>
    </sheetView>
  </sheetViews>
  <sheetFormatPr defaultRowHeight="14.25"/>
  <cols>
    <col min="1" max="1" width="28" customWidth="1"/>
    <col min="2" max="2" width="17.125" customWidth="1"/>
    <col min="3" max="3" width="35.875" customWidth="1"/>
    <col min="4" max="4" width="50" customWidth="1"/>
    <col min="5" max="5" width="50" hidden="1" customWidth="1"/>
    <col min="6" max="7" width="42" customWidth="1"/>
    <col min="8" max="8" width="48" customWidth="1"/>
    <col min="9" max="9" width="22" hidden="1" customWidth="1"/>
    <col min="10" max="10" width="16" hidden="1" customWidth="1"/>
    <col min="11" max="11" width="20" hidden="1" customWidth="1"/>
    <col min="12" max="12" width="40" hidden="1" customWidth="1"/>
    <col min="13" max="13" width="18" hidden="1" customWidth="1"/>
    <col min="14" max="14" width="34" hidden="1" customWidth="1"/>
    <col min="15" max="15" width="32" hidden="1" customWidth="1"/>
    <col min="16" max="16" width="17.625" customWidth="1"/>
    <col min="17" max="17" width="58.375" style="105" customWidth="1"/>
    <col min="18" max="18" width="60.625" style="105" customWidth="1"/>
  </cols>
  <sheetData>
    <row r="1" spans="1:25" ht="27.95" customHeight="1">
      <c r="A1" s="228" t="s">
        <v>700</v>
      </c>
      <c r="B1" s="228"/>
      <c r="C1" s="228"/>
      <c r="D1" s="228"/>
      <c r="E1" s="228"/>
      <c r="F1" s="228"/>
      <c r="G1" s="228"/>
      <c r="H1" s="228"/>
      <c r="I1" s="228"/>
      <c r="J1" s="228"/>
      <c r="K1" s="228"/>
      <c r="L1" s="228"/>
      <c r="M1" s="1"/>
      <c r="N1" s="1"/>
      <c r="O1" s="1"/>
      <c r="P1" s="1"/>
      <c r="Q1" s="104"/>
      <c r="R1" s="104"/>
      <c r="S1" s="1"/>
      <c r="T1" s="1"/>
      <c r="U1" s="1"/>
      <c r="V1" s="1"/>
      <c r="W1" s="1"/>
      <c r="X1" s="1"/>
      <c r="Y1" s="1"/>
    </row>
    <row r="2" spans="1:25" ht="36" customHeight="1">
      <c r="A2" s="229" t="s">
        <v>701</v>
      </c>
      <c r="B2" s="229"/>
      <c r="C2" s="229"/>
      <c r="D2" s="229"/>
      <c r="E2" s="229"/>
      <c r="F2" s="229"/>
      <c r="G2" s="229"/>
      <c r="H2" s="229"/>
      <c r="I2" s="229"/>
      <c r="J2" s="229"/>
      <c r="K2" s="229"/>
      <c r="L2" s="229"/>
      <c r="M2" s="1"/>
      <c r="N2" s="1"/>
      <c r="O2" s="1"/>
      <c r="P2" s="1"/>
      <c r="Q2" s="104"/>
      <c r="R2" s="104"/>
      <c r="S2" s="1"/>
      <c r="T2" s="1"/>
      <c r="U2" s="1"/>
      <c r="V2" s="1"/>
      <c r="W2" s="1"/>
      <c r="X2" s="1"/>
      <c r="Y2" s="1"/>
    </row>
    <row r="3" spans="1:25" ht="14.1" customHeight="1">
      <c r="A3" s="1"/>
      <c r="B3" s="1"/>
      <c r="C3" s="1"/>
      <c r="D3" s="1"/>
      <c r="E3" s="1"/>
      <c r="F3" s="1"/>
      <c r="G3" s="1"/>
      <c r="H3" s="1"/>
      <c r="I3" s="1"/>
      <c r="J3" s="1"/>
      <c r="K3" s="1"/>
      <c r="L3" s="1"/>
      <c r="M3" s="1"/>
      <c r="N3" s="1"/>
      <c r="O3" s="1"/>
      <c r="P3" s="1"/>
      <c r="Q3" s="104"/>
      <c r="R3" s="104"/>
      <c r="S3" s="1"/>
      <c r="T3" s="1"/>
      <c r="U3" s="1"/>
      <c r="V3" s="1"/>
      <c r="W3" s="1"/>
      <c r="X3" s="1"/>
      <c r="Y3" s="1"/>
    </row>
    <row r="4" spans="1:25" ht="30" customHeight="1">
      <c r="A4" s="213" t="s">
        <v>702</v>
      </c>
      <c r="B4" s="213" t="s">
        <v>703</v>
      </c>
      <c r="C4" s="213" t="s">
        <v>704</v>
      </c>
      <c r="D4" s="213" t="s">
        <v>705</v>
      </c>
      <c r="E4" s="213" t="s">
        <v>706</v>
      </c>
      <c r="F4" s="213" t="s">
        <v>707</v>
      </c>
      <c r="G4" s="213" t="s">
        <v>708</v>
      </c>
      <c r="H4" s="213" t="s">
        <v>709</v>
      </c>
      <c r="I4" s="213" t="s">
        <v>710</v>
      </c>
      <c r="J4" s="213" t="s">
        <v>711</v>
      </c>
      <c r="K4" s="213" t="s">
        <v>712</v>
      </c>
      <c r="L4" s="213" t="s">
        <v>713</v>
      </c>
      <c r="M4" s="213" t="s">
        <v>714</v>
      </c>
      <c r="N4" s="213" t="s">
        <v>715</v>
      </c>
      <c r="O4" s="213" t="s">
        <v>716</v>
      </c>
      <c r="P4" s="213" t="s">
        <v>717</v>
      </c>
      <c r="Q4" s="214" t="s">
        <v>718</v>
      </c>
      <c r="R4" s="214" t="s">
        <v>719</v>
      </c>
      <c r="S4" s="1"/>
      <c r="T4" s="1"/>
      <c r="U4" s="1"/>
      <c r="V4" s="1"/>
      <c r="W4" s="1"/>
      <c r="X4" s="1"/>
      <c r="Y4" s="1"/>
    </row>
    <row r="5" spans="1:25" ht="60" customHeight="1">
      <c r="A5" s="156">
        <v>1</v>
      </c>
      <c r="B5" s="156" t="s">
        <v>720</v>
      </c>
      <c r="C5" s="60" t="s">
        <v>721</v>
      </c>
      <c r="D5" s="194" t="s">
        <v>722</v>
      </c>
      <c r="E5" s="166">
        <v>46069</v>
      </c>
      <c r="F5" s="60" t="s">
        <v>723</v>
      </c>
      <c r="G5" s="63" t="s">
        <v>724</v>
      </c>
      <c r="H5" s="154" t="s">
        <v>725</v>
      </c>
      <c r="I5" s="1"/>
      <c r="J5" s="1"/>
      <c r="K5" s="1"/>
      <c r="L5" s="1"/>
      <c r="M5" s="1"/>
      <c r="N5" s="1"/>
      <c r="O5" s="1"/>
      <c r="P5" s="202" t="s">
        <v>726</v>
      </c>
      <c r="Q5" s="190" t="s">
        <v>727</v>
      </c>
      <c r="R5" s="206" t="s">
        <v>728</v>
      </c>
      <c r="S5" s="1"/>
      <c r="T5" s="1"/>
      <c r="U5" s="1"/>
      <c r="V5" s="1"/>
      <c r="W5" s="1"/>
      <c r="X5" s="1"/>
      <c r="Y5" s="1"/>
    </row>
    <row r="6" spans="1:25" ht="60" customHeight="1">
      <c r="A6" s="157"/>
      <c r="B6" s="157"/>
      <c r="C6" s="61"/>
      <c r="D6" s="195"/>
      <c r="E6" s="167"/>
      <c r="F6" s="61" t="s">
        <v>729</v>
      </c>
      <c r="G6" s="64" t="s">
        <v>730</v>
      </c>
      <c r="H6" s="155"/>
      <c r="I6" s="1"/>
      <c r="J6" s="1"/>
      <c r="K6" s="1"/>
      <c r="L6" s="1"/>
      <c r="M6" s="1"/>
      <c r="N6" s="1"/>
      <c r="O6" s="1"/>
      <c r="P6" s="198"/>
      <c r="Q6" s="190"/>
      <c r="R6" s="206"/>
      <c r="S6" s="1"/>
      <c r="T6" s="1"/>
      <c r="U6" s="1"/>
      <c r="V6" s="1"/>
      <c r="W6" s="1"/>
      <c r="X6" s="1"/>
      <c r="Y6" s="1"/>
    </row>
    <row r="7" spans="1:25" ht="60" customHeight="1">
      <c r="A7" s="157"/>
      <c r="B7" s="157"/>
      <c r="C7" s="61"/>
      <c r="D7" s="195"/>
      <c r="E7" s="167"/>
      <c r="F7" s="61" t="s">
        <v>731</v>
      </c>
      <c r="G7" s="65" t="s">
        <v>732</v>
      </c>
      <c r="H7" s="155"/>
      <c r="I7" s="1"/>
      <c r="J7" s="1"/>
      <c r="K7" s="1"/>
      <c r="L7" s="1"/>
      <c r="M7" s="1"/>
      <c r="N7" s="1"/>
      <c r="O7" s="1"/>
      <c r="P7" s="198"/>
      <c r="Q7" s="190"/>
      <c r="R7" s="206"/>
      <c r="S7" s="1"/>
      <c r="T7" s="1"/>
      <c r="U7" s="1"/>
      <c r="V7" s="1"/>
      <c r="W7" s="1"/>
      <c r="X7" s="1"/>
      <c r="Y7" s="1"/>
    </row>
    <row r="8" spans="1:25" ht="60" customHeight="1">
      <c r="A8" s="157"/>
      <c r="B8" s="157"/>
      <c r="C8" s="61"/>
      <c r="D8" s="195"/>
      <c r="E8" s="167"/>
      <c r="F8" s="61" t="s">
        <v>733</v>
      </c>
      <c r="G8" s="64" t="s">
        <v>734</v>
      </c>
      <c r="H8" s="155"/>
      <c r="I8" s="1"/>
      <c r="J8" s="1"/>
      <c r="K8" s="1"/>
      <c r="L8" s="1"/>
      <c r="M8" s="1"/>
      <c r="N8" s="1"/>
      <c r="O8" s="1"/>
      <c r="P8" s="198"/>
      <c r="Q8" s="190"/>
      <c r="R8" s="206"/>
      <c r="S8" s="1"/>
      <c r="T8" s="1"/>
      <c r="U8" s="1"/>
      <c r="V8" s="1"/>
      <c r="W8" s="1"/>
      <c r="X8" s="1"/>
      <c r="Y8" s="1"/>
    </row>
    <row r="9" spans="1:25" ht="60" customHeight="1">
      <c r="A9" s="157"/>
      <c r="B9" s="157"/>
      <c r="C9" s="61"/>
      <c r="D9" s="195"/>
      <c r="E9" s="167"/>
      <c r="F9" s="61" t="s">
        <v>735</v>
      </c>
      <c r="G9" s="64" t="s">
        <v>736</v>
      </c>
      <c r="H9" s="155"/>
      <c r="I9" s="1"/>
      <c r="J9" s="1"/>
      <c r="K9" s="1"/>
      <c r="L9" s="1"/>
      <c r="M9" s="1"/>
      <c r="N9" s="1"/>
      <c r="O9" s="1"/>
      <c r="P9" s="198"/>
      <c r="Q9" s="190"/>
      <c r="R9" s="206"/>
      <c r="S9" s="1"/>
      <c r="T9" s="1"/>
      <c r="U9" s="1"/>
      <c r="V9" s="1"/>
      <c r="W9" s="1"/>
      <c r="X9" s="1"/>
      <c r="Y9" s="1"/>
    </row>
    <row r="10" spans="1:25" ht="60" customHeight="1">
      <c r="A10" s="165"/>
      <c r="B10" s="165"/>
      <c r="C10" s="62"/>
      <c r="D10" s="196"/>
      <c r="E10" s="187"/>
      <c r="F10" s="62" t="s">
        <v>737</v>
      </c>
      <c r="G10" s="66" t="s">
        <v>738</v>
      </c>
      <c r="H10" s="188"/>
      <c r="I10" s="1"/>
      <c r="J10" s="1"/>
      <c r="K10" s="1"/>
      <c r="L10" s="1"/>
      <c r="M10" s="1"/>
      <c r="N10" s="1"/>
      <c r="O10" s="1"/>
      <c r="P10" s="199"/>
      <c r="Q10" s="190"/>
      <c r="R10" s="207"/>
      <c r="S10" s="1"/>
      <c r="T10" s="1"/>
      <c r="U10" s="1"/>
      <c r="V10" s="1"/>
      <c r="W10" s="1"/>
      <c r="X10" s="1"/>
      <c r="Y10" s="1"/>
    </row>
    <row r="11" spans="1:25" ht="60" customHeight="1">
      <c r="A11" s="156">
        <v>2</v>
      </c>
      <c r="B11" s="156" t="s">
        <v>720</v>
      </c>
      <c r="C11" s="60" t="s">
        <v>739</v>
      </c>
      <c r="D11" s="194" t="s">
        <v>187</v>
      </c>
      <c r="E11" s="166">
        <v>46078</v>
      </c>
      <c r="F11" s="60" t="s">
        <v>740</v>
      </c>
      <c r="G11" s="67" t="s">
        <v>741</v>
      </c>
      <c r="H11" s="154" t="s">
        <v>742</v>
      </c>
      <c r="I11" s="1"/>
      <c r="J11" s="1"/>
      <c r="K11" s="1"/>
      <c r="L11" s="1"/>
      <c r="M11" s="1"/>
      <c r="N11" s="1"/>
      <c r="O11" s="1"/>
      <c r="P11" s="202" t="s">
        <v>726</v>
      </c>
      <c r="Q11" s="193" t="s">
        <v>743</v>
      </c>
      <c r="R11" s="205" t="s">
        <v>744</v>
      </c>
      <c r="S11" s="1"/>
      <c r="T11" s="1"/>
      <c r="U11" s="1"/>
      <c r="V11" s="1"/>
      <c r="W11" s="1"/>
      <c r="X11" s="1"/>
      <c r="Y11" s="1"/>
    </row>
    <row r="12" spans="1:25" ht="60" customHeight="1">
      <c r="A12" s="157"/>
      <c r="B12" s="157"/>
      <c r="C12" s="61"/>
      <c r="D12" s="195"/>
      <c r="E12" s="167"/>
      <c r="F12" s="61" t="s">
        <v>745</v>
      </c>
      <c r="G12" s="64" t="s">
        <v>746</v>
      </c>
      <c r="H12" s="155"/>
      <c r="I12" s="1"/>
      <c r="J12" s="1"/>
      <c r="K12" s="1"/>
      <c r="L12" s="1"/>
      <c r="M12" s="1"/>
      <c r="N12" s="1"/>
      <c r="O12" s="1"/>
      <c r="P12" s="198"/>
      <c r="Q12" s="190"/>
      <c r="R12" s="206"/>
      <c r="S12" s="1"/>
      <c r="T12" s="1"/>
      <c r="U12" s="1"/>
      <c r="V12" s="1"/>
      <c r="W12" s="1"/>
      <c r="X12" s="1"/>
      <c r="Y12" s="1"/>
    </row>
    <row r="13" spans="1:25" ht="60" customHeight="1">
      <c r="A13" s="157"/>
      <c r="B13" s="157"/>
      <c r="C13" s="61"/>
      <c r="D13" s="195"/>
      <c r="E13" s="167"/>
      <c r="F13" s="61" t="s">
        <v>747</v>
      </c>
      <c r="G13" s="64" t="s">
        <v>748</v>
      </c>
      <c r="H13" s="155"/>
      <c r="I13" s="1"/>
      <c r="J13" s="1"/>
      <c r="K13" s="1"/>
      <c r="L13" s="1"/>
      <c r="M13" s="1"/>
      <c r="N13" s="1"/>
      <c r="O13" s="1"/>
      <c r="P13" s="198"/>
      <c r="Q13" s="190"/>
      <c r="R13" s="206"/>
      <c r="S13" s="1"/>
      <c r="T13" s="1"/>
      <c r="U13" s="1"/>
      <c r="V13" s="1"/>
      <c r="W13" s="1"/>
      <c r="X13" s="1"/>
      <c r="Y13" s="1"/>
    </row>
    <row r="14" spans="1:25" ht="60" customHeight="1">
      <c r="A14" s="157"/>
      <c r="B14" s="157"/>
      <c r="C14" s="61"/>
      <c r="D14" s="195"/>
      <c r="E14" s="167"/>
      <c r="F14" s="61" t="s">
        <v>749</v>
      </c>
      <c r="G14" s="64" t="s">
        <v>750</v>
      </c>
      <c r="H14" s="155"/>
      <c r="I14" s="1"/>
      <c r="J14" s="1"/>
      <c r="K14" s="1"/>
      <c r="L14" s="1"/>
      <c r="M14" s="1"/>
      <c r="N14" s="1"/>
      <c r="O14" s="1"/>
      <c r="P14" s="198"/>
      <c r="Q14" s="190"/>
      <c r="R14" s="206"/>
      <c r="S14" s="1"/>
      <c r="T14" s="1"/>
      <c r="U14" s="1"/>
      <c r="V14" s="1"/>
      <c r="W14" s="1"/>
      <c r="X14" s="1"/>
      <c r="Y14" s="1"/>
    </row>
    <row r="15" spans="1:25" ht="60" customHeight="1">
      <c r="A15" s="157"/>
      <c r="B15" s="157"/>
      <c r="C15" s="61"/>
      <c r="D15" s="195"/>
      <c r="E15" s="167"/>
      <c r="F15" s="61" t="s">
        <v>751</v>
      </c>
      <c r="G15" s="64" t="s">
        <v>752</v>
      </c>
      <c r="H15" s="155"/>
      <c r="I15" s="1"/>
      <c r="J15" s="1"/>
      <c r="K15" s="1"/>
      <c r="L15" s="1"/>
      <c r="M15" s="1"/>
      <c r="N15" s="1"/>
      <c r="O15" s="1"/>
      <c r="P15" s="198"/>
      <c r="Q15" s="190"/>
      <c r="R15" s="206"/>
      <c r="S15" s="1"/>
      <c r="T15" s="1"/>
      <c r="U15" s="1"/>
      <c r="V15" s="1"/>
      <c r="W15" s="1"/>
      <c r="X15" s="1"/>
      <c r="Y15" s="1"/>
    </row>
    <row r="16" spans="1:25" ht="60" customHeight="1">
      <c r="A16" s="165"/>
      <c r="B16" s="165"/>
      <c r="C16" s="62"/>
      <c r="D16" s="196"/>
      <c r="E16" s="187"/>
      <c r="F16" s="62" t="s">
        <v>753</v>
      </c>
      <c r="G16" s="66" t="s">
        <v>754</v>
      </c>
      <c r="H16" s="188"/>
      <c r="I16" s="1"/>
      <c r="J16" s="1"/>
      <c r="K16" s="1"/>
      <c r="L16" s="1"/>
      <c r="M16" s="1"/>
      <c r="N16" s="1"/>
      <c r="O16" s="1"/>
      <c r="P16" s="199"/>
      <c r="Q16" s="191"/>
      <c r="R16" s="207"/>
      <c r="S16" s="1"/>
      <c r="T16" s="1"/>
      <c r="U16" s="1"/>
      <c r="V16" s="1"/>
      <c r="W16" s="1"/>
      <c r="X16" s="1"/>
      <c r="Y16" s="1"/>
    </row>
    <row r="17" spans="1:25" ht="60" customHeight="1">
      <c r="A17" s="156">
        <v>3</v>
      </c>
      <c r="B17" s="156" t="s">
        <v>720</v>
      </c>
      <c r="C17" s="60" t="s">
        <v>755</v>
      </c>
      <c r="D17" s="60" t="s">
        <v>756</v>
      </c>
      <c r="E17" s="166">
        <v>46084</v>
      </c>
      <c r="F17" s="60" t="s">
        <v>757</v>
      </c>
      <c r="G17" s="67" t="s">
        <v>758</v>
      </c>
      <c r="H17" s="154" t="s">
        <v>759</v>
      </c>
      <c r="I17" s="1"/>
      <c r="J17" s="1"/>
      <c r="K17" s="1"/>
      <c r="L17" s="1"/>
      <c r="M17" s="1"/>
      <c r="N17" s="1"/>
      <c r="O17" s="1"/>
      <c r="P17" s="202" t="s">
        <v>726</v>
      </c>
      <c r="Q17" s="190" t="s">
        <v>760</v>
      </c>
      <c r="R17" s="205" t="s">
        <v>761</v>
      </c>
      <c r="S17" s="232"/>
      <c r="T17" s="1"/>
      <c r="U17" s="1"/>
      <c r="V17" s="1"/>
      <c r="W17" s="1"/>
      <c r="X17" s="1"/>
      <c r="Y17" s="1"/>
    </row>
    <row r="18" spans="1:25" ht="60" customHeight="1">
      <c r="A18" s="157"/>
      <c r="B18" s="157"/>
      <c r="C18" s="61"/>
      <c r="D18" s="61"/>
      <c r="E18" s="167"/>
      <c r="F18" s="61" t="s">
        <v>762</v>
      </c>
      <c r="G18" s="64" t="s">
        <v>763</v>
      </c>
      <c r="H18" s="155"/>
      <c r="I18" s="1"/>
      <c r="J18" s="1"/>
      <c r="K18" s="1"/>
      <c r="L18" s="1"/>
      <c r="M18" s="1"/>
      <c r="N18" s="1"/>
      <c r="O18" s="1"/>
      <c r="P18" s="198"/>
      <c r="Q18" s="190"/>
      <c r="R18" s="206"/>
      <c r="S18" s="232"/>
      <c r="T18" s="1"/>
      <c r="U18" s="1"/>
      <c r="V18" s="1"/>
      <c r="W18" s="1"/>
      <c r="X18" s="1"/>
      <c r="Y18" s="1"/>
    </row>
    <row r="19" spans="1:25" ht="60" customHeight="1">
      <c r="A19" s="157"/>
      <c r="B19" s="157"/>
      <c r="C19" s="61"/>
      <c r="D19" s="61"/>
      <c r="E19" s="167"/>
      <c r="F19" s="61" t="s">
        <v>764</v>
      </c>
      <c r="G19" s="64" t="s">
        <v>765</v>
      </c>
      <c r="H19" s="155"/>
      <c r="I19" s="1"/>
      <c r="J19" s="1"/>
      <c r="K19" s="1"/>
      <c r="L19" s="1"/>
      <c r="M19" s="1"/>
      <c r="N19" s="1"/>
      <c r="O19" s="1"/>
      <c r="P19" s="198"/>
      <c r="Q19" s="190"/>
      <c r="R19" s="206"/>
      <c r="S19" s="232"/>
      <c r="T19" s="1"/>
      <c r="U19" s="1"/>
      <c r="V19" s="1"/>
      <c r="W19" s="1"/>
      <c r="X19" s="1"/>
      <c r="Y19" s="1"/>
    </row>
    <row r="20" spans="1:25" ht="60" customHeight="1">
      <c r="A20" s="157"/>
      <c r="B20" s="157"/>
      <c r="C20" s="61"/>
      <c r="D20" s="61"/>
      <c r="E20" s="167"/>
      <c r="F20" s="61" t="s">
        <v>766</v>
      </c>
      <c r="G20" s="64" t="s">
        <v>767</v>
      </c>
      <c r="H20" s="155"/>
      <c r="I20" s="1"/>
      <c r="J20" s="1"/>
      <c r="K20" s="1"/>
      <c r="L20" s="1"/>
      <c r="M20" s="1"/>
      <c r="N20" s="1"/>
      <c r="O20" s="1"/>
      <c r="P20" s="198"/>
      <c r="Q20" s="190"/>
      <c r="R20" s="206"/>
      <c r="S20" s="232"/>
      <c r="T20" s="1"/>
      <c r="U20" s="1"/>
      <c r="V20" s="1"/>
      <c r="W20" s="1"/>
      <c r="X20" s="1"/>
      <c r="Y20" s="1"/>
    </row>
    <row r="21" spans="1:25" ht="60" customHeight="1">
      <c r="A21" s="157"/>
      <c r="B21" s="157"/>
      <c r="C21" s="61"/>
      <c r="D21" s="61"/>
      <c r="E21" s="167"/>
      <c r="F21" s="61" t="s">
        <v>768</v>
      </c>
      <c r="G21" s="64" t="s">
        <v>769</v>
      </c>
      <c r="H21" s="155"/>
      <c r="I21" s="1"/>
      <c r="J21" s="1"/>
      <c r="K21" s="1"/>
      <c r="L21" s="1"/>
      <c r="M21" s="1"/>
      <c r="N21" s="1"/>
      <c r="O21" s="1"/>
      <c r="P21" s="198"/>
      <c r="Q21" s="190"/>
      <c r="R21" s="206"/>
      <c r="S21" s="232"/>
      <c r="T21" s="1"/>
      <c r="U21" s="1"/>
      <c r="V21" s="1"/>
      <c r="W21" s="1"/>
      <c r="X21" s="1"/>
      <c r="Y21" s="1"/>
    </row>
    <row r="22" spans="1:25" ht="60" customHeight="1">
      <c r="A22" s="165"/>
      <c r="B22" s="165"/>
      <c r="C22" s="62"/>
      <c r="D22" s="62"/>
      <c r="E22" s="187"/>
      <c r="F22" s="62" t="s">
        <v>770</v>
      </c>
      <c r="G22" s="66" t="s">
        <v>771</v>
      </c>
      <c r="H22" s="188"/>
      <c r="I22" s="1"/>
      <c r="J22" s="1"/>
      <c r="K22" s="1"/>
      <c r="L22" s="1"/>
      <c r="M22" s="1"/>
      <c r="N22" s="1"/>
      <c r="O22" s="1"/>
      <c r="P22" s="199"/>
      <c r="Q22" s="191"/>
      <c r="R22" s="207"/>
      <c r="S22" s="232"/>
      <c r="T22" s="1"/>
      <c r="U22" s="1"/>
      <c r="V22" s="1"/>
      <c r="W22" s="1"/>
      <c r="X22" s="1"/>
      <c r="Y22" s="1"/>
    </row>
    <row r="23" spans="1:25" ht="60" customHeight="1">
      <c r="A23" s="156">
        <v>4</v>
      </c>
      <c r="B23" s="156" t="s">
        <v>720</v>
      </c>
      <c r="C23" s="60" t="s">
        <v>772</v>
      </c>
      <c r="D23" s="60" t="s">
        <v>148</v>
      </c>
      <c r="E23" s="166">
        <v>46127</v>
      </c>
      <c r="F23" s="60" t="s">
        <v>773</v>
      </c>
      <c r="G23" s="67" t="s">
        <v>774</v>
      </c>
      <c r="H23" s="154" t="s">
        <v>775</v>
      </c>
      <c r="I23" s="1"/>
      <c r="J23" s="1"/>
      <c r="K23" s="1"/>
      <c r="L23" s="1"/>
      <c r="M23" s="1"/>
      <c r="N23" s="1"/>
      <c r="O23" s="1"/>
      <c r="P23" s="203" t="s">
        <v>776</v>
      </c>
      <c r="Q23" s="189" t="s">
        <v>777</v>
      </c>
      <c r="R23" s="205" t="s">
        <v>778</v>
      </c>
      <c r="S23" s="232"/>
      <c r="T23" s="1"/>
      <c r="U23" s="1"/>
      <c r="V23" s="1"/>
      <c r="W23" s="1"/>
      <c r="X23" s="1"/>
      <c r="Y23" s="1"/>
    </row>
    <row r="24" spans="1:25" ht="60" customHeight="1">
      <c r="A24" s="157"/>
      <c r="B24" s="157"/>
      <c r="C24" s="61"/>
      <c r="D24" s="61"/>
      <c r="E24" s="167"/>
      <c r="F24" s="61" t="s">
        <v>779</v>
      </c>
      <c r="G24" s="64" t="s">
        <v>780</v>
      </c>
      <c r="H24" s="155"/>
      <c r="I24" s="1"/>
      <c r="J24" s="1"/>
      <c r="K24" s="1"/>
      <c r="L24" s="1"/>
      <c r="M24" s="1"/>
      <c r="N24" s="1"/>
      <c r="O24" s="1"/>
      <c r="P24" s="201"/>
      <c r="Q24" s="189"/>
      <c r="R24" s="206"/>
      <c r="S24" s="232"/>
      <c r="T24" s="1"/>
      <c r="U24" s="1"/>
      <c r="V24" s="1"/>
      <c r="W24" s="1"/>
      <c r="X24" s="1"/>
      <c r="Y24" s="1"/>
    </row>
    <row r="25" spans="1:25" ht="60" customHeight="1">
      <c r="A25" s="157"/>
      <c r="B25" s="157"/>
      <c r="C25" s="61"/>
      <c r="D25" s="61"/>
      <c r="E25" s="167"/>
      <c r="F25" s="61" t="s">
        <v>781</v>
      </c>
      <c r="G25" s="64" t="s">
        <v>782</v>
      </c>
      <c r="H25" s="155"/>
      <c r="I25" s="1"/>
      <c r="J25" s="1"/>
      <c r="K25" s="1"/>
      <c r="L25" s="1"/>
      <c r="M25" s="1"/>
      <c r="N25" s="1"/>
      <c r="O25" s="1"/>
      <c r="P25" s="201"/>
      <c r="Q25" s="189"/>
      <c r="R25" s="206"/>
      <c r="S25" s="232"/>
      <c r="T25" s="1"/>
      <c r="U25" s="1"/>
      <c r="V25" s="1"/>
      <c r="W25" s="1"/>
      <c r="X25" s="1"/>
      <c r="Y25" s="1"/>
    </row>
    <row r="26" spans="1:25" ht="60" customHeight="1">
      <c r="A26" s="157"/>
      <c r="B26" s="157"/>
      <c r="C26" s="61"/>
      <c r="D26" s="61"/>
      <c r="E26" s="167"/>
      <c r="F26" s="61" t="s">
        <v>783</v>
      </c>
      <c r="G26" s="65" t="s">
        <v>784</v>
      </c>
      <c r="H26" s="155"/>
      <c r="I26" s="1"/>
      <c r="J26" s="1"/>
      <c r="K26" s="1"/>
      <c r="L26" s="1"/>
      <c r="M26" s="1"/>
      <c r="N26" s="1"/>
      <c r="O26" s="1"/>
      <c r="P26" s="201"/>
      <c r="Q26" s="189"/>
      <c r="R26" s="206"/>
      <c r="S26" s="232"/>
      <c r="T26" s="1"/>
      <c r="U26" s="1"/>
      <c r="V26" s="1"/>
      <c r="W26" s="1"/>
      <c r="X26" s="1"/>
      <c r="Y26" s="1"/>
    </row>
    <row r="27" spans="1:25" ht="60" customHeight="1">
      <c r="A27" s="157"/>
      <c r="B27" s="157"/>
      <c r="C27" s="61"/>
      <c r="D27" s="61"/>
      <c r="E27" s="167"/>
      <c r="F27" s="61" t="s">
        <v>785</v>
      </c>
      <c r="G27" s="65" t="s">
        <v>786</v>
      </c>
      <c r="H27" s="155"/>
      <c r="I27" s="1"/>
      <c r="J27" s="1"/>
      <c r="K27" s="1"/>
      <c r="L27" s="1"/>
      <c r="M27" s="1"/>
      <c r="N27" s="1"/>
      <c r="O27" s="1"/>
      <c r="P27" s="201"/>
      <c r="Q27" s="189"/>
      <c r="R27" s="206"/>
      <c r="S27" s="232"/>
      <c r="T27" s="1"/>
      <c r="U27" s="1"/>
      <c r="V27" s="1"/>
      <c r="W27" s="1"/>
      <c r="X27" s="1"/>
      <c r="Y27" s="1"/>
    </row>
    <row r="28" spans="1:25" ht="60" customHeight="1">
      <c r="A28" s="165"/>
      <c r="B28" s="165"/>
      <c r="C28" s="62"/>
      <c r="D28" s="62"/>
      <c r="E28" s="187"/>
      <c r="F28" s="62" t="s">
        <v>787</v>
      </c>
      <c r="G28" s="74" t="s">
        <v>788</v>
      </c>
      <c r="H28" s="188"/>
      <c r="I28" s="1"/>
      <c r="J28" s="1"/>
      <c r="K28" s="1"/>
      <c r="L28" s="1"/>
      <c r="M28" s="1"/>
      <c r="N28" s="1"/>
      <c r="O28" s="1"/>
      <c r="P28" s="204"/>
      <c r="Q28" s="192"/>
      <c r="R28" s="207"/>
      <c r="S28" s="232"/>
      <c r="T28" s="1"/>
      <c r="U28" s="1"/>
      <c r="V28" s="1"/>
      <c r="W28" s="1"/>
      <c r="X28" s="1"/>
      <c r="Y28" s="1"/>
    </row>
    <row r="29" spans="1:25" ht="60" customHeight="1">
      <c r="A29" s="156">
        <v>5</v>
      </c>
      <c r="B29" s="156" t="s">
        <v>720</v>
      </c>
      <c r="C29" s="60" t="s">
        <v>789</v>
      </c>
      <c r="D29" s="60" t="s">
        <v>790</v>
      </c>
      <c r="E29" s="166">
        <v>46146</v>
      </c>
      <c r="F29" s="60" t="s">
        <v>791</v>
      </c>
      <c r="G29" s="67" t="s">
        <v>792</v>
      </c>
      <c r="H29" s="154" t="s">
        <v>793</v>
      </c>
      <c r="I29" s="1"/>
      <c r="J29" s="1"/>
      <c r="K29" s="1"/>
      <c r="L29" s="1"/>
      <c r="M29" s="1"/>
      <c r="N29" s="1"/>
      <c r="O29" s="1"/>
      <c r="P29" s="202" t="s">
        <v>726</v>
      </c>
      <c r="Q29" s="189" t="s">
        <v>794</v>
      </c>
      <c r="R29" s="208" t="s">
        <v>795</v>
      </c>
      <c r="S29" s="1"/>
      <c r="T29" s="1"/>
      <c r="U29" s="1"/>
      <c r="V29" s="1"/>
      <c r="W29" s="1"/>
      <c r="X29" s="1"/>
      <c r="Y29" s="1"/>
    </row>
    <row r="30" spans="1:25" ht="60" customHeight="1">
      <c r="A30" s="157"/>
      <c r="B30" s="157"/>
      <c r="C30" s="61"/>
      <c r="D30" s="61"/>
      <c r="E30" s="167"/>
      <c r="F30" s="61" t="s">
        <v>796</v>
      </c>
      <c r="G30" s="65" t="s">
        <v>797</v>
      </c>
      <c r="H30" s="155"/>
      <c r="I30" s="1"/>
      <c r="J30" s="1"/>
      <c r="K30" s="1"/>
      <c r="L30" s="1"/>
      <c r="M30" s="1"/>
      <c r="N30" s="1"/>
      <c r="O30" s="1"/>
      <c r="P30" s="198"/>
      <c r="Q30" s="190"/>
      <c r="R30" s="206"/>
      <c r="S30" s="1"/>
      <c r="T30" s="1"/>
      <c r="U30" s="1"/>
      <c r="V30" s="1"/>
      <c r="W30" s="1"/>
      <c r="X30" s="1"/>
      <c r="Y30" s="1"/>
    </row>
    <row r="31" spans="1:25" ht="60" customHeight="1">
      <c r="A31" s="157"/>
      <c r="B31" s="157"/>
      <c r="C31" s="61"/>
      <c r="D31" s="61"/>
      <c r="E31" s="167"/>
      <c r="F31" s="61" t="s">
        <v>798</v>
      </c>
      <c r="G31" s="65" t="s">
        <v>799</v>
      </c>
      <c r="H31" s="155"/>
      <c r="I31" s="1"/>
      <c r="J31" s="1"/>
      <c r="K31" s="1"/>
      <c r="L31" s="1"/>
      <c r="M31" s="1"/>
      <c r="N31" s="1"/>
      <c r="O31" s="1"/>
      <c r="P31" s="198"/>
      <c r="Q31" s="190"/>
      <c r="R31" s="206"/>
      <c r="S31" s="1"/>
      <c r="T31" s="1"/>
      <c r="U31" s="1"/>
      <c r="V31" s="1"/>
      <c r="W31" s="1"/>
      <c r="X31" s="1"/>
      <c r="Y31" s="1"/>
    </row>
    <row r="32" spans="1:25" ht="60" customHeight="1">
      <c r="A32" s="157"/>
      <c r="B32" s="157"/>
      <c r="C32" s="61"/>
      <c r="D32" s="61"/>
      <c r="E32" s="167"/>
      <c r="F32" s="61" t="s">
        <v>800</v>
      </c>
      <c r="G32" s="65" t="s">
        <v>801</v>
      </c>
      <c r="H32" s="155"/>
      <c r="I32" s="1"/>
      <c r="J32" s="1"/>
      <c r="K32" s="1"/>
      <c r="L32" s="1"/>
      <c r="M32" s="1"/>
      <c r="N32" s="1"/>
      <c r="O32" s="1"/>
      <c r="P32" s="198"/>
      <c r="Q32" s="190"/>
      <c r="R32" s="206"/>
      <c r="S32" s="1"/>
      <c r="T32" s="1"/>
      <c r="U32" s="1"/>
      <c r="V32" s="1"/>
      <c r="W32" s="1"/>
      <c r="X32" s="1"/>
      <c r="Y32" s="1"/>
    </row>
    <row r="33" spans="1:25" ht="60" customHeight="1">
      <c r="A33" s="157"/>
      <c r="B33" s="157"/>
      <c r="C33" s="61"/>
      <c r="D33" s="61"/>
      <c r="E33" s="167"/>
      <c r="F33" s="61" t="s">
        <v>802</v>
      </c>
      <c r="G33" s="65" t="s">
        <v>803</v>
      </c>
      <c r="H33" s="155"/>
      <c r="I33" s="1"/>
      <c r="J33" s="1"/>
      <c r="K33" s="1"/>
      <c r="L33" s="1"/>
      <c r="M33" s="1"/>
      <c r="N33" s="1"/>
      <c r="O33" s="1"/>
      <c r="P33" s="198"/>
      <c r="Q33" s="190"/>
      <c r="R33" s="206"/>
      <c r="S33" s="1"/>
      <c r="T33" s="1"/>
      <c r="U33" s="1"/>
      <c r="V33" s="1"/>
      <c r="W33" s="1"/>
      <c r="X33" s="1"/>
      <c r="Y33" s="1"/>
    </row>
    <row r="34" spans="1:25" ht="60" customHeight="1">
      <c r="A34" s="165"/>
      <c r="B34" s="165"/>
      <c r="C34" s="62"/>
      <c r="D34" s="62"/>
      <c r="E34" s="187"/>
      <c r="F34" s="62" t="s">
        <v>804</v>
      </c>
      <c r="G34" s="74" t="s">
        <v>805</v>
      </c>
      <c r="H34" s="188"/>
      <c r="I34" s="1"/>
      <c r="J34" s="1"/>
      <c r="K34" s="1"/>
      <c r="L34" s="1"/>
      <c r="M34" s="1"/>
      <c r="N34" s="1"/>
      <c r="O34" s="1"/>
      <c r="P34" s="199"/>
      <c r="Q34" s="191"/>
      <c r="R34" s="207"/>
      <c r="S34" s="1"/>
      <c r="T34" s="1"/>
      <c r="U34" s="1"/>
      <c r="V34" s="1"/>
      <c r="W34" s="1"/>
      <c r="X34" s="1"/>
      <c r="Y34" s="1"/>
    </row>
    <row r="35" spans="1:25" ht="60" customHeight="1">
      <c r="A35" s="156">
        <v>6</v>
      </c>
      <c r="B35" s="156" t="s">
        <v>720</v>
      </c>
      <c r="C35" s="60" t="s">
        <v>806</v>
      </c>
      <c r="D35" s="60" t="s">
        <v>807</v>
      </c>
      <c r="E35" s="166">
        <v>46147</v>
      </c>
      <c r="F35" s="60" t="s">
        <v>808</v>
      </c>
      <c r="G35" s="63" t="s">
        <v>809</v>
      </c>
      <c r="H35" s="154" t="s">
        <v>810</v>
      </c>
      <c r="I35" s="1"/>
      <c r="J35" s="1"/>
      <c r="K35" s="1"/>
      <c r="L35" s="1"/>
      <c r="M35" s="1"/>
      <c r="N35" s="1"/>
      <c r="O35" s="1"/>
      <c r="P35" s="203" t="s">
        <v>811</v>
      </c>
      <c r="Q35" s="193" t="s">
        <v>812</v>
      </c>
      <c r="R35" s="206" t="s">
        <v>812</v>
      </c>
      <c r="S35" s="1"/>
      <c r="T35" s="1"/>
      <c r="U35" s="1"/>
      <c r="V35" s="1"/>
      <c r="W35" s="1"/>
      <c r="X35" s="1"/>
      <c r="Y35" s="1"/>
    </row>
    <row r="36" spans="1:25" ht="60" customHeight="1">
      <c r="A36" s="157"/>
      <c r="B36" s="157"/>
      <c r="C36" s="61"/>
      <c r="D36" s="61"/>
      <c r="E36" s="167"/>
      <c r="F36" s="61" t="s">
        <v>813</v>
      </c>
      <c r="G36" s="65" t="s">
        <v>814</v>
      </c>
      <c r="H36" s="155"/>
      <c r="I36" s="1"/>
      <c r="J36" s="1"/>
      <c r="K36" s="1"/>
      <c r="L36" s="1"/>
      <c r="M36" s="1"/>
      <c r="N36" s="1"/>
      <c r="O36" s="1"/>
      <c r="P36" s="201"/>
      <c r="Q36" s="190"/>
      <c r="R36" s="206"/>
      <c r="S36" s="1"/>
      <c r="T36" s="1"/>
      <c r="U36" s="1"/>
      <c r="V36" s="1"/>
      <c r="W36" s="1"/>
      <c r="X36" s="1"/>
      <c r="Y36" s="1"/>
    </row>
    <row r="37" spans="1:25" ht="60" customHeight="1">
      <c r="A37" s="157"/>
      <c r="B37" s="157"/>
      <c r="C37" s="61"/>
      <c r="D37" s="61"/>
      <c r="E37" s="167"/>
      <c r="F37" s="61" t="s">
        <v>815</v>
      </c>
      <c r="G37" s="65" t="s">
        <v>816</v>
      </c>
      <c r="H37" s="155"/>
      <c r="I37" s="1"/>
      <c r="J37" s="1"/>
      <c r="K37" s="1"/>
      <c r="L37" s="1"/>
      <c r="M37" s="1"/>
      <c r="N37" s="1"/>
      <c r="O37" s="1"/>
      <c r="P37" s="201"/>
      <c r="Q37" s="190"/>
      <c r="R37" s="206"/>
      <c r="S37" s="1"/>
      <c r="T37" s="1"/>
      <c r="U37" s="1"/>
      <c r="V37" s="1"/>
      <c r="W37" s="1"/>
      <c r="X37" s="1"/>
      <c r="Y37" s="1"/>
    </row>
    <row r="38" spans="1:25" ht="60" customHeight="1">
      <c r="A38" s="157"/>
      <c r="B38" s="157"/>
      <c r="C38" s="61"/>
      <c r="D38" s="61"/>
      <c r="E38" s="167"/>
      <c r="F38" s="61" t="s">
        <v>817</v>
      </c>
      <c r="G38" s="65" t="s">
        <v>818</v>
      </c>
      <c r="H38" s="155"/>
      <c r="I38" s="1"/>
      <c r="J38" s="1"/>
      <c r="K38" s="1"/>
      <c r="L38" s="1"/>
      <c r="M38" s="1"/>
      <c r="N38" s="1"/>
      <c r="O38" s="1"/>
      <c r="P38" s="201"/>
      <c r="Q38" s="190"/>
      <c r="R38" s="206"/>
      <c r="S38" s="1"/>
      <c r="T38" s="1"/>
      <c r="U38" s="1"/>
      <c r="V38" s="1"/>
      <c r="W38" s="1"/>
      <c r="X38" s="1"/>
      <c r="Y38" s="1"/>
    </row>
    <row r="39" spans="1:25" ht="60" customHeight="1">
      <c r="A39" s="157"/>
      <c r="B39" s="157"/>
      <c r="C39" s="61"/>
      <c r="D39" s="61"/>
      <c r="E39" s="167"/>
      <c r="F39" s="61" t="s">
        <v>819</v>
      </c>
      <c r="G39" s="65" t="s">
        <v>820</v>
      </c>
      <c r="H39" s="155"/>
      <c r="I39" s="1"/>
      <c r="J39" s="1"/>
      <c r="K39" s="1"/>
      <c r="L39" s="1"/>
      <c r="M39" s="1"/>
      <c r="N39" s="1"/>
      <c r="O39" s="1"/>
      <c r="P39" s="201"/>
      <c r="Q39" s="190"/>
      <c r="R39" s="206"/>
      <c r="S39" s="1"/>
      <c r="T39" s="1"/>
      <c r="U39" s="1"/>
      <c r="V39" s="1"/>
      <c r="W39" s="1"/>
      <c r="X39" s="1"/>
      <c r="Y39" s="1"/>
    </row>
    <row r="40" spans="1:25" ht="60" customHeight="1">
      <c r="A40" s="165"/>
      <c r="B40" s="165"/>
      <c r="C40" s="62"/>
      <c r="D40" s="61"/>
      <c r="E40" s="167"/>
      <c r="F40" s="61" t="s">
        <v>821</v>
      </c>
      <c r="G40" s="65" t="s">
        <v>822</v>
      </c>
      <c r="H40" s="155"/>
      <c r="I40" s="1"/>
      <c r="J40" s="1"/>
      <c r="K40" s="1"/>
      <c r="L40" s="1"/>
      <c r="M40" s="1"/>
      <c r="N40" s="1"/>
      <c r="O40" s="1"/>
      <c r="P40" s="204"/>
      <c r="Q40" s="190"/>
      <c r="R40" s="207"/>
      <c r="S40" s="1"/>
      <c r="T40" s="1"/>
      <c r="U40" s="1"/>
      <c r="V40" s="1"/>
      <c r="W40" s="1"/>
      <c r="X40" s="1"/>
      <c r="Y40" s="1"/>
    </row>
    <row r="41" spans="1:25" ht="60" customHeight="1">
      <c r="A41" s="156">
        <v>7</v>
      </c>
      <c r="B41" s="156" t="s">
        <v>720</v>
      </c>
      <c r="C41" s="168" t="s">
        <v>823</v>
      </c>
      <c r="D41" s="170" t="s">
        <v>355</v>
      </c>
      <c r="E41" s="173">
        <v>46153</v>
      </c>
      <c r="F41" s="70" t="s">
        <v>824</v>
      </c>
      <c r="G41" s="75" t="s">
        <v>825</v>
      </c>
      <c r="H41" s="176" t="s">
        <v>826</v>
      </c>
      <c r="I41" s="1"/>
      <c r="J41" s="1"/>
      <c r="K41" s="1"/>
      <c r="L41" s="1"/>
      <c r="M41" s="1"/>
      <c r="N41" s="1"/>
      <c r="O41" s="1"/>
      <c r="P41" s="202" t="s">
        <v>726</v>
      </c>
      <c r="Q41" s="193" t="s">
        <v>827</v>
      </c>
      <c r="R41" s="205" t="s">
        <v>828</v>
      </c>
      <c r="S41" s="1"/>
      <c r="T41" s="1"/>
      <c r="U41" s="1"/>
      <c r="V41" s="1"/>
      <c r="W41" s="1"/>
      <c r="X41" s="1"/>
      <c r="Y41" s="1"/>
    </row>
    <row r="42" spans="1:25" ht="60" customHeight="1">
      <c r="A42" s="157"/>
      <c r="B42" s="157"/>
      <c r="C42" s="169"/>
      <c r="D42" s="171"/>
      <c r="E42" s="174"/>
      <c r="F42" s="3" t="s">
        <v>829</v>
      </c>
      <c r="G42" s="76" t="s">
        <v>830</v>
      </c>
      <c r="H42" s="176"/>
      <c r="I42" s="1"/>
      <c r="J42" s="1"/>
      <c r="K42" s="1"/>
      <c r="L42" s="1"/>
      <c r="M42" s="1"/>
      <c r="N42" s="1"/>
      <c r="O42" s="1"/>
      <c r="P42" s="198"/>
      <c r="Q42" s="190"/>
      <c r="R42" s="206"/>
      <c r="S42" s="1"/>
      <c r="T42" s="1"/>
      <c r="U42" s="1"/>
      <c r="V42" s="1"/>
      <c r="W42" s="1"/>
      <c r="X42" s="1"/>
      <c r="Y42" s="1"/>
    </row>
    <row r="43" spans="1:25" ht="60" customHeight="1">
      <c r="A43" s="157"/>
      <c r="B43" s="157"/>
      <c r="C43" s="169"/>
      <c r="D43" s="171"/>
      <c r="E43" s="174"/>
      <c r="F43" s="3" t="s">
        <v>831</v>
      </c>
      <c r="G43" s="3" t="s">
        <v>832</v>
      </c>
      <c r="H43" s="176"/>
      <c r="I43" s="1"/>
      <c r="J43" s="1"/>
      <c r="K43" s="1"/>
      <c r="L43" s="1"/>
      <c r="M43" s="1"/>
      <c r="N43" s="1"/>
      <c r="O43" s="1"/>
      <c r="P43" s="198"/>
      <c r="Q43" s="190"/>
      <c r="R43" s="206"/>
      <c r="S43" s="1"/>
      <c r="T43" s="1"/>
      <c r="U43" s="1"/>
      <c r="V43" s="1"/>
      <c r="W43" s="1"/>
      <c r="X43" s="1"/>
      <c r="Y43" s="1"/>
    </row>
    <row r="44" spans="1:25" ht="60" customHeight="1">
      <c r="A44" s="157"/>
      <c r="B44" s="157"/>
      <c r="C44" s="169"/>
      <c r="D44" s="171"/>
      <c r="E44" s="174"/>
      <c r="F44" s="3" t="s">
        <v>833</v>
      </c>
      <c r="G44" s="3" t="s">
        <v>834</v>
      </c>
      <c r="H44" s="176"/>
      <c r="I44" s="1"/>
      <c r="J44" s="1"/>
      <c r="K44" s="1"/>
      <c r="L44" s="1"/>
      <c r="M44" s="1"/>
      <c r="N44" s="1"/>
      <c r="O44" s="1"/>
      <c r="P44" s="198"/>
      <c r="Q44" s="190"/>
      <c r="R44" s="206"/>
      <c r="S44" s="1"/>
      <c r="T44" s="1"/>
      <c r="U44" s="1"/>
      <c r="V44" s="1"/>
      <c r="W44" s="1"/>
      <c r="X44" s="1"/>
      <c r="Y44" s="1"/>
    </row>
    <row r="45" spans="1:25" ht="60" customHeight="1">
      <c r="A45" s="157"/>
      <c r="B45" s="157"/>
      <c r="C45" s="169"/>
      <c r="D45" s="171"/>
      <c r="E45" s="174"/>
      <c r="F45" s="3" t="s">
        <v>835</v>
      </c>
      <c r="G45" s="3" t="s">
        <v>836</v>
      </c>
      <c r="H45" s="176"/>
      <c r="I45" s="1"/>
      <c r="J45" s="1"/>
      <c r="K45" s="1"/>
      <c r="L45" s="1"/>
      <c r="M45" s="1"/>
      <c r="N45" s="1"/>
      <c r="O45" s="1"/>
      <c r="P45" s="198"/>
      <c r="Q45" s="190"/>
      <c r="R45" s="206"/>
      <c r="S45" s="1"/>
      <c r="T45" s="1"/>
      <c r="U45" s="1"/>
      <c r="V45" s="1"/>
      <c r="W45" s="1"/>
      <c r="X45" s="1"/>
      <c r="Y45" s="1"/>
    </row>
    <row r="46" spans="1:25" ht="60" customHeight="1">
      <c r="A46" s="157"/>
      <c r="B46" s="157"/>
      <c r="C46" s="169"/>
      <c r="D46" s="172"/>
      <c r="E46" s="175"/>
      <c r="F46" s="72" t="s">
        <v>837</v>
      </c>
      <c r="G46" s="77" t="s">
        <v>838</v>
      </c>
      <c r="H46" s="177"/>
      <c r="I46" s="1"/>
      <c r="J46" s="1"/>
      <c r="K46" s="1"/>
      <c r="L46" s="1"/>
      <c r="M46" s="1"/>
      <c r="N46" s="1"/>
      <c r="O46" s="1"/>
      <c r="P46" s="198"/>
      <c r="Q46" s="190"/>
      <c r="R46" s="207"/>
      <c r="S46" s="1"/>
      <c r="T46" s="1"/>
      <c r="U46" s="1"/>
      <c r="V46" s="1"/>
      <c r="W46" s="1"/>
      <c r="X46" s="1"/>
      <c r="Y46" s="1"/>
    </row>
    <row r="47" spans="1:25" ht="60" customHeight="1">
      <c r="A47" s="158">
        <v>8</v>
      </c>
      <c r="B47" s="158" t="s">
        <v>720</v>
      </c>
      <c r="C47" s="178" t="s">
        <v>839</v>
      </c>
      <c r="D47" s="178" t="s">
        <v>722</v>
      </c>
      <c r="E47" s="182">
        <v>46191</v>
      </c>
      <c r="F47" s="69" t="s">
        <v>840</v>
      </c>
      <c r="G47" s="78" t="s">
        <v>841</v>
      </c>
      <c r="H47" s="115" t="s">
        <v>842</v>
      </c>
      <c r="I47" s="1"/>
      <c r="J47" s="1"/>
      <c r="K47" s="1"/>
      <c r="L47" s="1"/>
      <c r="M47" s="1"/>
      <c r="N47" s="1"/>
      <c r="O47" s="1"/>
      <c r="P47" s="202" t="s">
        <v>726</v>
      </c>
      <c r="Q47" s="193" t="s">
        <v>843</v>
      </c>
      <c r="R47" s="205" t="s">
        <v>844</v>
      </c>
      <c r="S47" s="1"/>
      <c r="T47" s="1"/>
      <c r="U47" s="1"/>
      <c r="V47" s="1"/>
      <c r="W47" s="1"/>
      <c r="X47" s="1"/>
      <c r="Y47" s="1"/>
    </row>
    <row r="48" spans="1:25" ht="60" customHeight="1">
      <c r="A48" s="159"/>
      <c r="B48" s="159"/>
      <c r="C48" s="179"/>
      <c r="D48" s="179"/>
      <c r="E48" s="182"/>
      <c r="F48" s="69" t="s">
        <v>845</v>
      </c>
      <c r="G48" s="78" t="s">
        <v>846</v>
      </c>
      <c r="H48" s="116"/>
      <c r="I48" s="1"/>
      <c r="J48" s="1"/>
      <c r="K48" s="1"/>
      <c r="L48" s="1"/>
      <c r="M48" s="1"/>
      <c r="N48" s="1"/>
      <c r="O48" s="1"/>
      <c r="P48" s="198"/>
      <c r="Q48" s="190"/>
      <c r="R48" s="206"/>
      <c r="S48" s="1"/>
      <c r="T48" s="1"/>
      <c r="U48" s="1"/>
      <c r="V48" s="1"/>
      <c r="W48" s="1"/>
      <c r="X48" s="1"/>
      <c r="Y48" s="1"/>
    </row>
    <row r="49" spans="1:25" ht="60" customHeight="1">
      <c r="A49" s="159"/>
      <c r="B49" s="159"/>
      <c r="C49" s="179"/>
      <c r="D49" s="179"/>
      <c r="E49" s="182"/>
      <c r="F49" s="69" t="s">
        <v>847</v>
      </c>
      <c r="G49" s="78" t="s">
        <v>848</v>
      </c>
      <c r="H49" s="116"/>
      <c r="I49" s="1"/>
      <c r="J49" s="1"/>
      <c r="K49" s="1"/>
      <c r="L49" s="1"/>
      <c r="M49" s="1"/>
      <c r="N49" s="1"/>
      <c r="O49" s="1"/>
      <c r="P49" s="198"/>
      <c r="Q49" s="190"/>
      <c r="R49" s="206"/>
      <c r="S49" s="1"/>
      <c r="T49" s="1"/>
      <c r="U49" s="1"/>
      <c r="V49" s="1"/>
      <c r="W49" s="1"/>
      <c r="X49" s="1"/>
      <c r="Y49" s="1"/>
    </row>
    <row r="50" spans="1:25" ht="60" customHeight="1">
      <c r="A50" s="159"/>
      <c r="B50" s="159"/>
      <c r="C50" s="179"/>
      <c r="D50" s="179"/>
      <c r="E50" s="182"/>
      <c r="F50" s="69" t="s">
        <v>849</v>
      </c>
      <c r="G50" s="78" t="s">
        <v>850</v>
      </c>
      <c r="H50" s="116"/>
      <c r="I50" s="1"/>
      <c r="J50" s="1"/>
      <c r="K50" s="1"/>
      <c r="L50" s="1"/>
      <c r="M50" s="1"/>
      <c r="N50" s="1"/>
      <c r="O50" s="1"/>
      <c r="P50" s="198"/>
      <c r="Q50" s="190"/>
      <c r="R50" s="206"/>
      <c r="S50" s="1"/>
      <c r="T50" s="1"/>
      <c r="U50" s="1"/>
      <c r="V50" s="1"/>
      <c r="W50" s="1"/>
      <c r="X50" s="1"/>
      <c r="Y50" s="1"/>
    </row>
    <row r="51" spans="1:25" ht="60" customHeight="1">
      <c r="A51" s="159"/>
      <c r="B51" s="159"/>
      <c r="C51" s="179"/>
      <c r="D51" s="179"/>
      <c r="E51" s="182"/>
      <c r="F51" s="69" t="s">
        <v>851</v>
      </c>
      <c r="G51" s="78" t="s">
        <v>852</v>
      </c>
      <c r="H51" s="116"/>
      <c r="I51" s="1"/>
      <c r="J51" s="1"/>
      <c r="K51" s="1"/>
      <c r="L51" s="1"/>
      <c r="M51" s="1"/>
      <c r="N51" s="1"/>
      <c r="O51" s="1"/>
      <c r="P51" s="198"/>
      <c r="Q51" s="190"/>
      <c r="R51" s="206"/>
      <c r="S51" s="1"/>
      <c r="T51" s="1"/>
      <c r="U51" s="1"/>
      <c r="V51" s="1"/>
      <c r="W51" s="1"/>
      <c r="X51" s="1"/>
      <c r="Y51" s="1"/>
    </row>
    <row r="52" spans="1:25" ht="60" customHeight="1">
      <c r="A52" s="160"/>
      <c r="B52" s="160"/>
      <c r="C52" s="180"/>
      <c r="D52" s="181"/>
      <c r="E52" s="182"/>
      <c r="F52" s="69" t="s">
        <v>853</v>
      </c>
      <c r="G52" s="78" t="s">
        <v>854</v>
      </c>
      <c r="H52" s="117"/>
      <c r="I52" s="1"/>
      <c r="J52" s="1"/>
      <c r="K52" s="1"/>
      <c r="L52" s="1"/>
      <c r="M52" s="1"/>
      <c r="N52" s="1"/>
      <c r="O52" s="1"/>
      <c r="P52" s="199"/>
      <c r="Q52" s="191"/>
      <c r="R52" s="207"/>
      <c r="S52" s="1"/>
      <c r="T52" s="1"/>
      <c r="U52" s="1"/>
      <c r="V52" s="1"/>
      <c r="W52" s="1"/>
      <c r="X52" s="1"/>
      <c r="Y52" s="1"/>
    </row>
    <row r="53" spans="1:25" ht="60" customHeight="1">
      <c r="A53" s="161">
        <v>9</v>
      </c>
      <c r="B53" s="140" t="s">
        <v>720</v>
      </c>
      <c r="C53" s="134" t="s">
        <v>855</v>
      </c>
      <c r="D53" s="136" t="s">
        <v>856</v>
      </c>
      <c r="E53" s="185">
        <v>46155</v>
      </c>
      <c r="F53" s="3" t="s">
        <v>857</v>
      </c>
      <c r="G53" s="76" t="s">
        <v>858</v>
      </c>
      <c r="H53" s="112" t="s">
        <v>859</v>
      </c>
      <c r="I53" s="1"/>
      <c r="J53" s="1"/>
      <c r="K53" s="1"/>
      <c r="L53" s="1"/>
      <c r="M53" s="1"/>
      <c r="N53" s="1"/>
      <c r="O53" s="1"/>
      <c r="P53" s="202" t="s">
        <v>726</v>
      </c>
      <c r="Q53" s="190" t="s">
        <v>860</v>
      </c>
      <c r="R53" s="205" t="s">
        <v>861</v>
      </c>
      <c r="S53" s="1"/>
      <c r="T53" s="1"/>
      <c r="U53" s="1"/>
      <c r="V53" s="1"/>
      <c r="W53" s="1"/>
      <c r="X53" s="1"/>
      <c r="Y53" s="1"/>
    </row>
    <row r="54" spans="1:25" ht="60" customHeight="1">
      <c r="A54" s="162"/>
      <c r="B54" s="140"/>
      <c r="C54" s="134"/>
      <c r="D54" s="137"/>
      <c r="E54" s="186"/>
      <c r="F54" s="3" t="s">
        <v>862</v>
      </c>
      <c r="G54" s="3" t="s">
        <v>863</v>
      </c>
      <c r="H54" s="112"/>
      <c r="I54" s="1"/>
      <c r="J54" s="1"/>
      <c r="K54" s="1"/>
      <c r="L54" s="1"/>
      <c r="M54" s="1"/>
      <c r="N54" s="1"/>
      <c r="O54" s="1"/>
      <c r="P54" s="198"/>
      <c r="Q54" s="190"/>
      <c r="R54" s="206"/>
      <c r="S54" s="1"/>
      <c r="T54" s="1"/>
      <c r="U54" s="1"/>
      <c r="V54" s="1"/>
      <c r="W54" s="1"/>
      <c r="X54" s="1"/>
      <c r="Y54" s="1"/>
    </row>
    <row r="55" spans="1:25" ht="60" customHeight="1">
      <c r="A55" s="162"/>
      <c r="B55" s="140"/>
      <c r="C55" s="134"/>
      <c r="D55" s="137"/>
      <c r="E55" s="186"/>
      <c r="F55" s="3" t="s">
        <v>864</v>
      </c>
      <c r="G55" s="3" t="s">
        <v>865</v>
      </c>
      <c r="H55" s="112"/>
      <c r="I55" s="1"/>
      <c r="J55" s="1"/>
      <c r="K55" s="1"/>
      <c r="L55" s="1"/>
      <c r="M55" s="1"/>
      <c r="N55" s="1"/>
      <c r="O55" s="1"/>
      <c r="P55" s="198"/>
      <c r="Q55" s="190"/>
      <c r="R55" s="206"/>
      <c r="S55" s="1"/>
      <c r="T55" s="1"/>
      <c r="U55" s="1"/>
      <c r="V55" s="1"/>
      <c r="W55" s="1"/>
      <c r="X55" s="1"/>
      <c r="Y55" s="1"/>
    </row>
    <row r="56" spans="1:25" ht="60" customHeight="1">
      <c r="A56" s="162"/>
      <c r="B56" s="140"/>
      <c r="C56" s="134"/>
      <c r="D56" s="137"/>
      <c r="E56" s="186"/>
      <c r="F56" s="3" t="s">
        <v>866</v>
      </c>
      <c r="G56" s="3" t="s">
        <v>867</v>
      </c>
      <c r="H56" s="112"/>
      <c r="I56" s="1"/>
      <c r="J56" s="1"/>
      <c r="K56" s="1"/>
      <c r="L56" s="1"/>
      <c r="M56" s="1"/>
      <c r="N56" s="1"/>
      <c r="O56" s="1"/>
      <c r="P56" s="198"/>
      <c r="Q56" s="190"/>
      <c r="R56" s="206"/>
      <c r="S56" s="1"/>
      <c r="T56" s="1"/>
      <c r="U56" s="1"/>
      <c r="V56" s="1"/>
      <c r="W56" s="1"/>
      <c r="X56" s="1"/>
      <c r="Y56" s="1"/>
    </row>
    <row r="57" spans="1:25" ht="60" customHeight="1">
      <c r="A57" s="162"/>
      <c r="B57" s="140"/>
      <c r="C57" s="134"/>
      <c r="D57" s="137"/>
      <c r="E57" s="186"/>
      <c r="F57" s="3" t="s">
        <v>868</v>
      </c>
      <c r="G57" s="3" t="s">
        <v>869</v>
      </c>
      <c r="H57" s="112"/>
      <c r="I57" s="1"/>
      <c r="J57" s="1"/>
      <c r="K57" s="1"/>
      <c r="L57" s="1"/>
      <c r="M57" s="1"/>
      <c r="N57" s="1"/>
      <c r="O57" s="1"/>
      <c r="P57" s="198"/>
      <c r="Q57" s="190"/>
      <c r="R57" s="206"/>
      <c r="S57" s="1"/>
      <c r="T57" s="1"/>
      <c r="U57" s="1"/>
      <c r="V57" s="1"/>
      <c r="W57" s="1"/>
      <c r="X57" s="1"/>
      <c r="Y57" s="1"/>
    </row>
    <row r="58" spans="1:25" ht="60" customHeight="1">
      <c r="A58" s="163"/>
      <c r="B58" s="118"/>
      <c r="C58" s="135"/>
      <c r="D58" s="137"/>
      <c r="E58" s="186"/>
      <c r="F58" s="72" t="s">
        <v>870</v>
      </c>
      <c r="G58" s="86" t="s">
        <v>871</v>
      </c>
      <c r="H58" s="112"/>
      <c r="I58" s="1"/>
      <c r="J58" s="1"/>
      <c r="K58" s="1"/>
      <c r="L58" s="1"/>
      <c r="M58" s="1"/>
      <c r="N58" s="1"/>
      <c r="O58" s="1"/>
      <c r="P58" s="198"/>
      <c r="Q58" s="190"/>
      <c r="R58" s="207"/>
      <c r="S58" s="1"/>
      <c r="T58" s="1"/>
      <c r="U58" s="1"/>
      <c r="V58" s="1"/>
      <c r="W58" s="1"/>
      <c r="X58" s="1"/>
      <c r="Y58" s="1"/>
    </row>
    <row r="59" spans="1:25" ht="60" customHeight="1">
      <c r="A59" s="164">
        <v>10</v>
      </c>
      <c r="B59" s="183" t="s">
        <v>720</v>
      </c>
      <c r="C59" s="134" t="s">
        <v>872</v>
      </c>
      <c r="D59" s="136" t="s">
        <v>873</v>
      </c>
      <c r="E59" s="139">
        <v>46156</v>
      </c>
      <c r="F59" s="69" t="s">
        <v>874</v>
      </c>
      <c r="G59" s="79" t="s">
        <v>875</v>
      </c>
      <c r="H59" s="112" t="s">
        <v>876</v>
      </c>
      <c r="I59" s="1"/>
      <c r="J59" s="1"/>
      <c r="K59" s="1"/>
      <c r="L59" s="1"/>
      <c r="M59" s="1"/>
      <c r="N59" s="1"/>
      <c r="O59" s="1"/>
      <c r="P59" s="197" t="s">
        <v>726</v>
      </c>
      <c r="Q59" s="193" t="s">
        <v>877</v>
      </c>
      <c r="R59" s="205" t="s">
        <v>878</v>
      </c>
      <c r="S59" s="1"/>
      <c r="T59" s="1"/>
      <c r="U59" s="1"/>
      <c r="V59" s="1"/>
      <c r="W59" s="1"/>
      <c r="X59" s="1"/>
      <c r="Y59" s="1"/>
    </row>
    <row r="60" spans="1:25" ht="60" customHeight="1">
      <c r="A60" s="162"/>
      <c r="B60" s="183"/>
      <c r="C60" s="134"/>
      <c r="D60" s="137"/>
      <c r="E60" s="139"/>
      <c r="F60" s="69" t="s">
        <v>879</v>
      </c>
      <c r="G60" s="79" t="s">
        <v>880</v>
      </c>
      <c r="H60" s="112"/>
      <c r="I60" s="1"/>
      <c r="J60" s="1"/>
      <c r="K60" s="1"/>
      <c r="L60" s="1"/>
      <c r="M60" s="1"/>
      <c r="N60" s="1"/>
      <c r="O60" s="1"/>
      <c r="P60" s="198"/>
      <c r="Q60" s="190"/>
      <c r="R60" s="206"/>
      <c r="S60" s="1"/>
      <c r="T60" s="1"/>
      <c r="U60" s="1"/>
      <c r="V60" s="1"/>
      <c r="W60" s="1"/>
      <c r="X60" s="1"/>
      <c r="Y60" s="1"/>
    </row>
    <row r="61" spans="1:25" ht="60" customHeight="1">
      <c r="A61" s="162"/>
      <c r="B61" s="183"/>
      <c r="C61" s="134"/>
      <c r="D61" s="137"/>
      <c r="E61" s="139"/>
      <c r="F61" s="69" t="s">
        <v>881</v>
      </c>
      <c r="G61" s="69" t="s">
        <v>882</v>
      </c>
      <c r="H61" s="112"/>
      <c r="I61" s="1"/>
      <c r="J61" s="1"/>
      <c r="K61" s="1"/>
      <c r="L61" s="1"/>
      <c r="M61" s="1"/>
      <c r="N61" s="1"/>
      <c r="O61" s="1"/>
      <c r="P61" s="198"/>
      <c r="Q61" s="190"/>
      <c r="R61" s="206"/>
      <c r="S61" s="1"/>
      <c r="T61" s="1"/>
      <c r="U61" s="1"/>
      <c r="V61" s="1"/>
      <c r="W61" s="1"/>
      <c r="X61" s="1"/>
      <c r="Y61" s="1"/>
    </row>
    <row r="62" spans="1:25" ht="60" customHeight="1">
      <c r="A62" s="162"/>
      <c r="B62" s="183"/>
      <c r="C62" s="134"/>
      <c r="D62" s="137"/>
      <c r="E62" s="139"/>
      <c r="F62" s="69" t="s">
        <v>883</v>
      </c>
      <c r="G62" s="79" t="s">
        <v>884</v>
      </c>
      <c r="H62" s="112"/>
      <c r="I62" s="1"/>
      <c r="J62" s="1"/>
      <c r="K62" s="1"/>
      <c r="L62" s="1"/>
      <c r="M62" s="1"/>
      <c r="N62" s="1"/>
      <c r="O62" s="1"/>
      <c r="P62" s="198"/>
      <c r="Q62" s="190"/>
      <c r="R62" s="206"/>
      <c r="S62" s="1"/>
      <c r="T62" s="1"/>
      <c r="U62" s="1"/>
      <c r="V62" s="1"/>
      <c r="W62" s="1"/>
      <c r="X62" s="1"/>
      <c r="Y62" s="1"/>
    </row>
    <row r="63" spans="1:25" ht="60" customHeight="1">
      <c r="A63" s="162"/>
      <c r="B63" s="183"/>
      <c r="C63" s="134"/>
      <c r="D63" s="137"/>
      <c r="E63" s="139"/>
      <c r="F63" s="69" t="s">
        <v>885</v>
      </c>
      <c r="G63" s="79" t="s">
        <v>886</v>
      </c>
      <c r="H63" s="112"/>
      <c r="I63" s="1"/>
      <c r="J63" s="1"/>
      <c r="K63" s="1"/>
      <c r="L63" s="1"/>
      <c r="M63" s="1"/>
      <c r="N63" s="1"/>
      <c r="O63" s="1"/>
      <c r="P63" s="198"/>
      <c r="Q63" s="190"/>
      <c r="R63" s="206"/>
      <c r="S63" s="1"/>
      <c r="T63" s="1"/>
      <c r="U63" s="1"/>
      <c r="V63" s="1"/>
      <c r="W63" s="1"/>
      <c r="X63" s="1"/>
      <c r="Y63" s="1"/>
    </row>
    <row r="64" spans="1:25" ht="60" customHeight="1">
      <c r="A64" s="163"/>
      <c r="B64" s="184"/>
      <c r="C64" s="135"/>
      <c r="D64" s="138"/>
      <c r="E64" s="139"/>
      <c r="F64" s="69" t="s">
        <v>887</v>
      </c>
      <c r="G64" s="79" t="s">
        <v>888</v>
      </c>
      <c r="H64" s="113"/>
      <c r="I64" s="1"/>
      <c r="J64" s="1"/>
      <c r="K64" s="1"/>
      <c r="L64" s="1"/>
      <c r="M64" s="1"/>
      <c r="N64" s="1"/>
      <c r="O64" s="1"/>
      <c r="P64" s="198"/>
      <c r="Q64" s="191"/>
      <c r="R64" s="207"/>
      <c r="S64" s="1"/>
      <c r="T64" s="1"/>
      <c r="U64" s="1"/>
      <c r="V64" s="1"/>
      <c r="W64" s="1"/>
      <c r="X64" s="1"/>
      <c r="Y64" s="1"/>
    </row>
    <row r="65" spans="1:25" ht="60" customHeight="1">
      <c r="A65" s="144">
        <v>11</v>
      </c>
      <c r="B65" s="152" t="s">
        <v>720</v>
      </c>
      <c r="C65" s="141" t="s">
        <v>889</v>
      </c>
      <c r="D65" s="142" t="s">
        <v>890</v>
      </c>
      <c r="E65" s="143">
        <v>46160</v>
      </c>
      <c r="F65" s="68" t="s">
        <v>891</v>
      </c>
      <c r="G65" s="80" t="s">
        <v>892</v>
      </c>
      <c r="H65" s="112" t="s">
        <v>893</v>
      </c>
      <c r="I65" s="1"/>
      <c r="J65" s="1"/>
      <c r="K65" s="1"/>
      <c r="L65" s="1"/>
      <c r="M65" s="1"/>
      <c r="N65" s="1"/>
      <c r="O65" s="1"/>
      <c r="P65" s="197" t="s">
        <v>726</v>
      </c>
      <c r="Q65" s="190" t="s">
        <v>894</v>
      </c>
      <c r="R65" s="205" t="s">
        <v>895</v>
      </c>
      <c r="S65" s="1"/>
      <c r="T65" s="1"/>
      <c r="U65" s="1"/>
      <c r="V65" s="1"/>
      <c r="W65" s="1"/>
      <c r="X65" s="1"/>
      <c r="Y65" s="1"/>
    </row>
    <row r="66" spans="1:25" ht="60" customHeight="1">
      <c r="A66" s="145"/>
      <c r="B66" s="153"/>
      <c r="C66" s="141"/>
      <c r="D66" s="142"/>
      <c r="E66" s="139"/>
      <c r="F66" s="69" t="s">
        <v>896</v>
      </c>
      <c r="G66" s="79" t="s">
        <v>897</v>
      </c>
      <c r="H66" s="112"/>
      <c r="I66" s="1"/>
      <c r="J66" s="1"/>
      <c r="K66" s="1"/>
      <c r="L66" s="1"/>
      <c r="M66" s="1"/>
      <c r="N66" s="1"/>
      <c r="O66" s="1"/>
      <c r="P66" s="198"/>
      <c r="Q66" s="190"/>
      <c r="R66" s="206"/>
      <c r="S66" s="1"/>
      <c r="T66" s="1"/>
      <c r="U66" s="1"/>
      <c r="V66" s="1"/>
      <c r="W66" s="1"/>
      <c r="X66" s="1"/>
      <c r="Y66" s="1"/>
    </row>
    <row r="67" spans="1:25" ht="60" customHeight="1">
      <c r="A67" s="145"/>
      <c r="B67" s="153"/>
      <c r="C67" s="141"/>
      <c r="D67" s="142"/>
      <c r="E67" s="139"/>
      <c r="F67" s="69" t="s">
        <v>898</v>
      </c>
      <c r="G67" s="79" t="s">
        <v>899</v>
      </c>
      <c r="H67" s="112"/>
      <c r="I67" s="1"/>
      <c r="J67" s="1"/>
      <c r="K67" s="1"/>
      <c r="L67" s="1"/>
      <c r="M67" s="1"/>
      <c r="N67" s="1"/>
      <c r="O67" s="1"/>
      <c r="P67" s="198"/>
      <c r="Q67" s="190"/>
      <c r="R67" s="206"/>
      <c r="S67" s="1"/>
      <c r="T67" s="1"/>
      <c r="U67" s="1"/>
      <c r="V67" s="1"/>
      <c r="W67" s="1"/>
      <c r="X67" s="1"/>
      <c r="Y67" s="1"/>
    </row>
    <row r="68" spans="1:25" ht="60" customHeight="1">
      <c r="A68" s="145"/>
      <c r="B68" s="153"/>
      <c r="C68" s="141"/>
      <c r="D68" s="142"/>
      <c r="E68" s="139"/>
      <c r="F68" s="69" t="s">
        <v>900</v>
      </c>
      <c r="G68" s="79" t="s">
        <v>901</v>
      </c>
      <c r="H68" s="112"/>
      <c r="I68" s="1"/>
      <c r="J68" s="1"/>
      <c r="K68" s="1"/>
      <c r="L68" s="1"/>
      <c r="M68" s="1"/>
      <c r="N68" s="1"/>
      <c r="O68" s="1"/>
      <c r="P68" s="198"/>
      <c r="Q68" s="190"/>
      <c r="R68" s="206"/>
      <c r="S68" s="1"/>
      <c r="T68" s="1"/>
      <c r="U68" s="1"/>
      <c r="V68" s="1"/>
      <c r="W68" s="1"/>
      <c r="X68" s="1"/>
      <c r="Y68" s="1"/>
    </row>
    <row r="69" spans="1:25" ht="60" customHeight="1">
      <c r="A69" s="145"/>
      <c r="B69" s="153"/>
      <c r="C69" s="141"/>
      <c r="D69" s="142"/>
      <c r="E69" s="139"/>
      <c r="F69" s="69" t="s">
        <v>902</v>
      </c>
      <c r="G69" s="79" t="s">
        <v>903</v>
      </c>
      <c r="H69" s="112"/>
      <c r="I69" s="1"/>
      <c r="J69" s="1"/>
      <c r="K69" s="1"/>
      <c r="L69" s="1"/>
      <c r="M69" s="1"/>
      <c r="N69" s="1"/>
      <c r="O69" s="1"/>
      <c r="P69" s="198"/>
      <c r="Q69" s="190"/>
      <c r="R69" s="206"/>
      <c r="S69" s="1"/>
      <c r="T69" s="1"/>
      <c r="U69" s="1"/>
      <c r="V69" s="1"/>
      <c r="W69" s="1"/>
      <c r="X69" s="1"/>
      <c r="Y69" s="1"/>
    </row>
    <row r="70" spans="1:25" ht="60" customHeight="1">
      <c r="A70" s="146"/>
      <c r="B70" s="153"/>
      <c r="C70" s="128"/>
      <c r="D70" s="119"/>
      <c r="E70" s="139"/>
      <c r="F70" s="69" t="s">
        <v>904</v>
      </c>
      <c r="G70" s="79" t="s">
        <v>905</v>
      </c>
      <c r="H70" s="113"/>
      <c r="I70" s="1"/>
      <c r="J70" s="1"/>
      <c r="K70" s="1"/>
      <c r="L70" s="1"/>
      <c r="M70" s="1"/>
      <c r="N70" s="1"/>
      <c r="O70" s="1"/>
      <c r="P70" s="199"/>
      <c r="Q70" s="191"/>
      <c r="R70" s="207"/>
      <c r="S70" s="1"/>
      <c r="T70" s="1"/>
      <c r="U70" s="1"/>
      <c r="V70" s="1"/>
      <c r="W70" s="1"/>
      <c r="X70" s="1"/>
      <c r="Y70" s="1"/>
    </row>
    <row r="71" spans="1:25" ht="60" customHeight="1">
      <c r="A71" s="144">
        <v>12</v>
      </c>
      <c r="B71" s="118" t="s">
        <v>720</v>
      </c>
      <c r="C71" s="119" t="s">
        <v>906</v>
      </c>
      <c r="D71" s="119" t="s">
        <v>907</v>
      </c>
      <c r="E71" s="122">
        <v>46191</v>
      </c>
      <c r="F71" s="68" t="s">
        <v>840</v>
      </c>
      <c r="G71" s="80" t="s">
        <v>841</v>
      </c>
      <c r="H71" s="124" t="s">
        <v>908</v>
      </c>
      <c r="I71" s="1"/>
      <c r="J71" s="1"/>
      <c r="K71" s="1"/>
      <c r="L71" s="1"/>
      <c r="M71" s="1"/>
      <c r="N71" s="1"/>
      <c r="O71" s="1"/>
      <c r="P71" s="197" t="s">
        <v>726</v>
      </c>
      <c r="Q71" s="190" t="s">
        <v>894</v>
      </c>
      <c r="R71" s="205" t="s">
        <v>895</v>
      </c>
      <c r="S71" s="1"/>
      <c r="T71" s="1"/>
      <c r="U71" s="1"/>
      <c r="V71" s="1"/>
      <c r="W71" s="1"/>
      <c r="X71" s="1"/>
      <c r="Y71" s="1"/>
    </row>
    <row r="72" spans="1:25" ht="60" customHeight="1">
      <c r="A72" s="145"/>
      <c r="B72" s="116"/>
      <c r="C72" s="120"/>
      <c r="D72" s="120"/>
      <c r="E72" s="123"/>
      <c r="F72" s="69" t="s">
        <v>845</v>
      </c>
      <c r="G72" s="79" t="s">
        <v>846</v>
      </c>
      <c r="H72" s="124"/>
      <c r="I72" s="1"/>
      <c r="J72" s="1"/>
      <c r="K72" s="1"/>
      <c r="L72" s="1"/>
      <c r="M72" s="1"/>
      <c r="N72" s="1"/>
      <c r="O72" s="1"/>
      <c r="P72" s="198"/>
      <c r="Q72" s="190"/>
      <c r="R72" s="206"/>
      <c r="S72" s="1"/>
      <c r="T72" s="1"/>
      <c r="U72" s="1"/>
      <c r="V72" s="1"/>
      <c r="W72" s="1"/>
      <c r="X72" s="1"/>
      <c r="Y72" s="1"/>
    </row>
    <row r="73" spans="1:25" ht="60" customHeight="1">
      <c r="A73" s="145"/>
      <c r="B73" s="116"/>
      <c r="C73" s="120"/>
      <c r="D73" s="120"/>
      <c r="E73" s="123"/>
      <c r="F73" s="69" t="s">
        <v>847</v>
      </c>
      <c r="G73" s="79" t="s">
        <v>848</v>
      </c>
      <c r="H73" s="124"/>
      <c r="I73" s="1"/>
      <c r="J73" s="1"/>
      <c r="K73" s="1"/>
      <c r="L73" s="1"/>
      <c r="M73" s="1"/>
      <c r="N73" s="1"/>
      <c r="O73" s="1"/>
      <c r="P73" s="198"/>
      <c r="Q73" s="190"/>
      <c r="R73" s="206"/>
      <c r="S73" s="1"/>
      <c r="T73" s="1"/>
      <c r="U73" s="1"/>
      <c r="V73" s="1"/>
      <c r="W73" s="1"/>
      <c r="X73" s="1"/>
      <c r="Y73" s="1"/>
    </row>
    <row r="74" spans="1:25" ht="60" customHeight="1">
      <c r="A74" s="145"/>
      <c r="B74" s="116"/>
      <c r="C74" s="120"/>
      <c r="D74" s="120"/>
      <c r="E74" s="123"/>
      <c r="F74" s="69" t="s">
        <v>849</v>
      </c>
      <c r="G74" s="79" t="s">
        <v>850</v>
      </c>
      <c r="H74" s="124"/>
      <c r="I74" s="1"/>
      <c r="J74" s="1"/>
      <c r="K74" s="1"/>
      <c r="L74" s="1"/>
      <c r="M74" s="1"/>
      <c r="N74" s="1"/>
      <c r="O74" s="1"/>
      <c r="P74" s="198"/>
      <c r="Q74" s="190"/>
      <c r="R74" s="206"/>
      <c r="S74" s="1"/>
      <c r="T74" s="1"/>
      <c r="U74" s="1"/>
      <c r="V74" s="1"/>
      <c r="W74" s="1"/>
      <c r="X74" s="1"/>
      <c r="Y74" s="1"/>
    </row>
    <row r="75" spans="1:25" ht="60" customHeight="1">
      <c r="A75" s="145"/>
      <c r="B75" s="116"/>
      <c r="C75" s="120"/>
      <c r="D75" s="120"/>
      <c r="E75" s="123"/>
      <c r="F75" s="69" t="s">
        <v>851</v>
      </c>
      <c r="G75" s="79" t="s">
        <v>852</v>
      </c>
      <c r="H75" s="124"/>
      <c r="I75" s="1"/>
      <c r="J75" s="1"/>
      <c r="K75" s="1"/>
      <c r="L75" s="1"/>
      <c r="M75" s="1"/>
      <c r="N75" s="1"/>
      <c r="O75" s="1"/>
      <c r="P75" s="198"/>
      <c r="Q75" s="190"/>
      <c r="R75" s="206"/>
      <c r="S75" s="1"/>
      <c r="T75" s="1"/>
      <c r="U75" s="1"/>
      <c r="V75" s="1"/>
      <c r="W75" s="1"/>
      <c r="X75" s="1"/>
      <c r="Y75" s="1"/>
    </row>
    <row r="76" spans="1:25" ht="60" customHeight="1">
      <c r="A76" s="146"/>
      <c r="B76" s="117"/>
      <c r="C76" s="121"/>
      <c r="D76" s="121"/>
      <c r="E76" s="123"/>
      <c r="F76" s="71" t="s">
        <v>853</v>
      </c>
      <c r="G76" s="81" t="s">
        <v>854</v>
      </c>
      <c r="H76" s="124"/>
      <c r="I76" s="1"/>
      <c r="J76" s="1"/>
      <c r="K76" s="1"/>
      <c r="L76" s="1"/>
      <c r="M76" s="1"/>
      <c r="N76" s="1"/>
      <c r="O76" s="1"/>
      <c r="P76" s="198"/>
      <c r="Q76" s="191"/>
      <c r="R76" s="207"/>
      <c r="S76" s="1"/>
      <c r="T76" s="1"/>
      <c r="U76" s="1"/>
      <c r="V76" s="1"/>
      <c r="W76" s="1"/>
      <c r="X76" s="1"/>
      <c r="Y76" s="1"/>
    </row>
    <row r="77" spans="1:25" ht="60" customHeight="1">
      <c r="A77" s="147">
        <v>13</v>
      </c>
      <c r="B77" s="125" t="s">
        <v>720</v>
      </c>
      <c r="C77" s="128" t="s">
        <v>909</v>
      </c>
      <c r="D77" s="131" t="s">
        <v>123</v>
      </c>
      <c r="E77" s="139">
        <v>46154</v>
      </c>
      <c r="F77" s="69" t="s">
        <v>910</v>
      </c>
      <c r="G77" s="79" t="s">
        <v>911</v>
      </c>
      <c r="H77" s="113" t="s">
        <v>912</v>
      </c>
      <c r="I77" s="1"/>
      <c r="J77" s="1"/>
      <c r="K77" s="1"/>
      <c r="L77" s="1"/>
      <c r="M77" s="1"/>
      <c r="N77" s="1"/>
      <c r="O77" s="1"/>
      <c r="P77" s="200" t="s">
        <v>811</v>
      </c>
      <c r="Q77" s="193" t="s">
        <v>913</v>
      </c>
      <c r="R77" s="205" t="s">
        <v>914</v>
      </c>
      <c r="S77" s="1"/>
      <c r="T77" s="1"/>
      <c r="U77" s="1"/>
      <c r="V77" s="1"/>
      <c r="W77" s="1"/>
      <c r="X77" s="1"/>
      <c r="Y77" s="1"/>
    </row>
    <row r="78" spans="1:25" ht="60" customHeight="1">
      <c r="A78" s="148"/>
      <c r="B78" s="126"/>
      <c r="C78" s="129"/>
      <c r="D78" s="132"/>
      <c r="E78" s="139"/>
      <c r="F78" s="69" t="s">
        <v>915</v>
      </c>
      <c r="G78" s="79" t="s">
        <v>916</v>
      </c>
      <c r="H78" s="114"/>
      <c r="I78" s="1"/>
      <c r="J78" s="1"/>
      <c r="K78" s="1"/>
      <c r="L78" s="1"/>
      <c r="M78" s="1"/>
      <c r="N78" s="1"/>
      <c r="O78" s="1"/>
      <c r="P78" s="201"/>
      <c r="Q78" s="190"/>
      <c r="R78" s="206"/>
      <c r="S78" s="1"/>
      <c r="T78" s="1"/>
      <c r="U78" s="1"/>
      <c r="V78" s="1"/>
      <c r="W78" s="1"/>
      <c r="X78" s="1"/>
      <c r="Y78" s="1"/>
    </row>
    <row r="79" spans="1:25" ht="60" customHeight="1">
      <c r="A79" s="148"/>
      <c r="B79" s="126"/>
      <c r="C79" s="129"/>
      <c r="D79" s="132"/>
      <c r="E79" s="139"/>
      <c r="F79" s="69" t="s">
        <v>917</v>
      </c>
      <c r="G79" s="82" t="s">
        <v>918</v>
      </c>
      <c r="H79" s="114"/>
      <c r="I79" s="1"/>
      <c r="J79" s="1"/>
      <c r="K79" s="1"/>
      <c r="L79" s="1"/>
      <c r="M79" s="1"/>
      <c r="N79" s="1"/>
      <c r="O79" s="1"/>
      <c r="P79" s="201"/>
      <c r="Q79" s="190"/>
      <c r="R79" s="206"/>
      <c r="S79" s="1"/>
      <c r="T79" s="1"/>
      <c r="U79" s="1"/>
      <c r="V79" s="1"/>
      <c r="W79" s="1"/>
      <c r="X79" s="1"/>
      <c r="Y79" s="1"/>
    </row>
    <row r="80" spans="1:25" ht="60" customHeight="1">
      <c r="A80" s="148"/>
      <c r="B80" s="126"/>
      <c r="C80" s="129"/>
      <c r="D80" s="132"/>
      <c r="E80" s="139"/>
      <c r="F80" s="69" t="s">
        <v>919</v>
      </c>
      <c r="G80" s="82" t="s">
        <v>920</v>
      </c>
      <c r="H80" s="114"/>
      <c r="I80" s="1"/>
      <c r="J80" s="1"/>
      <c r="K80" s="1"/>
      <c r="L80" s="1"/>
      <c r="M80" s="1"/>
      <c r="N80" s="1"/>
      <c r="O80" s="1"/>
      <c r="P80" s="201"/>
      <c r="Q80" s="190"/>
      <c r="R80" s="206"/>
      <c r="S80" s="1"/>
      <c r="T80" s="1"/>
      <c r="U80" s="1"/>
      <c r="V80" s="1"/>
      <c r="W80" s="1"/>
      <c r="X80" s="1"/>
      <c r="Y80" s="1"/>
    </row>
    <row r="81" spans="1:25" ht="60" customHeight="1">
      <c r="A81" s="148"/>
      <c r="B81" s="126"/>
      <c r="C81" s="129"/>
      <c r="D81" s="132"/>
      <c r="E81" s="139"/>
      <c r="F81" s="69" t="s">
        <v>921</v>
      </c>
      <c r="G81" s="82" t="s">
        <v>922</v>
      </c>
      <c r="H81" s="114"/>
      <c r="I81" s="1"/>
      <c r="J81" s="1"/>
      <c r="K81" s="1"/>
      <c r="L81" s="1"/>
      <c r="M81" s="1"/>
      <c r="N81" s="1"/>
      <c r="O81" s="1"/>
      <c r="P81" s="201"/>
      <c r="Q81" s="190"/>
      <c r="R81" s="206"/>
      <c r="S81" s="1"/>
      <c r="T81" s="1"/>
      <c r="U81" s="1"/>
      <c r="V81" s="1"/>
      <c r="W81" s="1"/>
      <c r="X81" s="1"/>
      <c r="Y81" s="1"/>
    </row>
    <row r="82" spans="1:25" ht="60" customHeight="1">
      <c r="A82" s="149"/>
      <c r="B82" s="127"/>
      <c r="C82" s="130"/>
      <c r="D82" s="133"/>
      <c r="E82" s="139"/>
      <c r="F82" s="69" t="s">
        <v>923</v>
      </c>
      <c r="G82" s="82" t="s">
        <v>924</v>
      </c>
      <c r="H82" s="111"/>
      <c r="I82" s="1"/>
      <c r="J82" s="1"/>
      <c r="K82" s="1"/>
      <c r="L82" s="1"/>
      <c r="M82" s="1"/>
      <c r="N82" s="1"/>
      <c r="O82" s="1"/>
      <c r="P82" s="201"/>
      <c r="Q82" s="191"/>
      <c r="R82" s="207"/>
      <c r="S82" s="1"/>
      <c r="T82" s="1"/>
      <c r="U82" s="1"/>
      <c r="V82" s="1"/>
      <c r="W82" s="1"/>
      <c r="X82" s="1"/>
      <c r="Y82" s="1"/>
    </row>
    <row r="83" spans="1:25" ht="60" customHeight="1">
      <c r="A83" s="147">
        <v>14</v>
      </c>
      <c r="B83" s="140" t="s">
        <v>720</v>
      </c>
      <c r="C83" s="142" t="s">
        <v>925</v>
      </c>
      <c r="D83" s="150" t="s">
        <v>355</v>
      </c>
      <c r="E83" s="139">
        <v>46153</v>
      </c>
      <c r="F83" s="68" t="s">
        <v>824</v>
      </c>
      <c r="G83" s="84" t="s">
        <v>825</v>
      </c>
      <c r="H83" s="111" t="s">
        <v>826</v>
      </c>
      <c r="I83" s="1"/>
      <c r="J83" s="1"/>
      <c r="K83" s="1"/>
      <c r="L83" s="1"/>
      <c r="M83" s="1"/>
      <c r="N83" s="1"/>
      <c r="O83" s="1"/>
      <c r="P83" s="197" t="s">
        <v>726</v>
      </c>
      <c r="Q83" s="193" t="s">
        <v>926</v>
      </c>
      <c r="R83" s="205" t="s">
        <v>927</v>
      </c>
      <c r="S83" s="1"/>
      <c r="T83" s="1"/>
      <c r="U83" s="1"/>
      <c r="V83" s="1"/>
      <c r="W83" s="1"/>
      <c r="X83" s="1"/>
      <c r="Y83" s="1"/>
    </row>
    <row r="84" spans="1:25" ht="60" customHeight="1">
      <c r="A84" s="148"/>
      <c r="B84" s="140"/>
      <c r="C84" s="142"/>
      <c r="D84" s="142"/>
      <c r="E84" s="139"/>
      <c r="F84" s="69" t="s">
        <v>829</v>
      </c>
      <c r="G84" s="85" t="s">
        <v>916</v>
      </c>
      <c r="H84" s="112"/>
      <c r="I84" s="1"/>
      <c r="J84" s="1"/>
      <c r="K84" s="1"/>
      <c r="L84" s="1"/>
      <c r="M84" s="1"/>
      <c r="N84" s="1"/>
      <c r="O84" s="1"/>
      <c r="P84" s="198"/>
      <c r="Q84" s="190"/>
      <c r="R84" s="206"/>
      <c r="S84" s="1"/>
      <c r="T84" s="1"/>
      <c r="U84" s="1"/>
      <c r="V84" s="1"/>
      <c r="W84" s="1"/>
      <c r="X84" s="1"/>
      <c r="Y84" s="1"/>
    </row>
    <row r="85" spans="1:25" ht="60" customHeight="1">
      <c r="A85" s="148"/>
      <c r="B85" s="140"/>
      <c r="C85" s="142"/>
      <c r="D85" s="142"/>
      <c r="E85" s="139"/>
      <c r="F85" s="69" t="s">
        <v>831</v>
      </c>
      <c r="G85" s="69" t="s">
        <v>832</v>
      </c>
      <c r="H85" s="112"/>
      <c r="I85" s="1"/>
      <c r="J85" s="1"/>
      <c r="K85" s="1"/>
      <c r="L85" s="1"/>
      <c r="M85" s="1"/>
      <c r="N85" s="1"/>
      <c r="O85" s="1"/>
      <c r="P85" s="198"/>
      <c r="Q85" s="190"/>
      <c r="R85" s="206"/>
      <c r="S85" s="1"/>
      <c r="T85" s="1"/>
      <c r="U85" s="1"/>
      <c r="V85" s="1"/>
      <c r="W85" s="1"/>
      <c r="X85" s="1"/>
      <c r="Y85" s="1"/>
    </row>
    <row r="86" spans="1:25" ht="60" customHeight="1">
      <c r="A86" s="148"/>
      <c r="B86" s="140"/>
      <c r="C86" s="142"/>
      <c r="D86" s="142"/>
      <c r="E86" s="139"/>
      <c r="F86" s="69" t="s">
        <v>833</v>
      </c>
      <c r="G86" s="69" t="s">
        <v>834</v>
      </c>
      <c r="H86" s="112"/>
      <c r="I86" s="1"/>
      <c r="J86" s="1"/>
      <c r="K86" s="1"/>
      <c r="L86" s="1"/>
      <c r="M86" s="1"/>
      <c r="N86" s="1"/>
      <c r="O86" s="1"/>
      <c r="P86" s="198"/>
      <c r="Q86" s="190"/>
      <c r="R86" s="206"/>
      <c r="S86" s="1"/>
      <c r="T86" s="1"/>
      <c r="U86" s="1"/>
      <c r="V86" s="1"/>
      <c r="W86" s="1"/>
      <c r="X86" s="1"/>
      <c r="Y86" s="1"/>
    </row>
    <row r="87" spans="1:25" ht="60" customHeight="1">
      <c r="A87" s="148"/>
      <c r="B87" s="140"/>
      <c r="C87" s="142"/>
      <c r="D87" s="142"/>
      <c r="E87" s="139"/>
      <c r="F87" s="69" t="s">
        <v>835</v>
      </c>
      <c r="G87" s="69" t="s">
        <v>836</v>
      </c>
      <c r="H87" s="112"/>
      <c r="I87" s="1"/>
      <c r="J87" s="1"/>
      <c r="K87" s="1"/>
      <c r="L87" s="1"/>
      <c r="M87" s="1"/>
      <c r="N87" s="1"/>
      <c r="O87" s="1"/>
      <c r="P87" s="198"/>
      <c r="Q87" s="190"/>
      <c r="R87" s="206"/>
      <c r="S87" s="1"/>
      <c r="T87" s="1"/>
      <c r="U87" s="1"/>
      <c r="V87" s="1"/>
      <c r="W87" s="1"/>
      <c r="X87" s="1"/>
      <c r="Y87" s="1"/>
    </row>
    <row r="88" spans="1:25" ht="60" customHeight="1">
      <c r="A88" s="149"/>
      <c r="B88" s="140"/>
      <c r="C88" s="142"/>
      <c r="D88" s="142"/>
      <c r="E88" s="151"/>
      <c r="F88" s="71" t="s">
        <v>837</v>
      </c>
      <c r="G88" s="83" t="s">
        <v>838</v>
      </c>
      <c r="H88" s="112"/>
      <c r="I88" s="1"/>
      <c r="J88" s="1"/>
      <c r="K88" s="1"/>
      <c r="L88" s="1"/>
      <c r="M88" s="1"/>
      <c r="N88" s="1"/>
      <c r="O88" s="1"/>
      <c r="P88" s="199"/>
      <c r="Q88" s="191"/>
      <c r="R88" s="207"/>
      <c r="S88" s="1"/>
      <c r="T88" s="1"/>
      <c r="U88" s="1"/>
      <c r="V88" s="1"/>
      <c r="W88" s="1"/>
      <c r="X88" s="1"/>
      <c r="Y88" s="1"/>
    </row>
    <row r="89" spans="1:25">
      <c r="A89" s="1"/>
      <c r="B89" s="1"/>
      <c r="C89" s="1"/>
      <c r="D89" s="1"/>
      <c r="E89" s="1"/>
      <c r="F89" s="1"/>
      <c r="G89" s="1"/>
      <c r="H89" s="1"/>
      <c r="I89" s="1"/>
      <c r="J89" s="1"/>
      <c r="K89" s="1"/>
      <c r="L89" s="1"/>
      <c r="M89" s="1"/>
      <c r="N89" s="1"/>
      <c r="O89" s="1"/>
      <c r="P89" s="102"/>
      <c r="Q89" s="104"/>
      <c r="R89" s="104"/>
      <c r="S89" s="1"/>
      <c r="T89" s="1"/>
      <c r="U89" s="1"/>
      <c r="V89" s="1"/>
      <c r="W89" s="1"/>
      <c r="X89" s="1"/>
      <c r="Y89" s="1"/>
    </row>
    <row r="90" spans="1:25">
      <c r="A90" s="1"/>
      <c r="B90" s="1"/>
      <c r="C90" s="1"/>
      <c r="D90" s="1"/>
      <c r="E90" s="1"/>
      <c r="F90" s="1"/>
      <c r="G90" s="1"/>
      <c r="H90" s="1"/>
      <c r="I90" s="1"/>
      <c r="J90" s="1"/>
      <c r="K90" s="1"/>
      <c r="L90" s="1"/>
      <c r="M90" s="1"/>
      <c r="N90" s="1"/>
      <c r="O90" s="1"/>
      <c r="P90" s="1"/>
      <c r="Q90" s="104"/>
      <c r="R90" s="104"/>
      <c r="S90" s="1"/>
      <c r="T90" s="1"/>
      <c r="U90" s="1"/>
      <c r="V90" s="1"/>
      <c r="W90" s="1"/>
      <c r="X90" s="1"/>
      <c r="Y90" s="1"/>
    </row>
    <row r="91" spans="1:25">
      <c r="A91" s="1"/>
      <c r="B91" s="1"/>
      <c r="C91" s="1"/>
      <c r="D91" s="1"/>
      <c r="E91" s="1"/>
      <c r="F91" s="1"/>
      <c r="G91" s="1"/>
      <c r="H91" s="1"/>
      <c r="I91" s="1"/>
      <c r="J91" s="1"/>
      <c r="K91" s="1"/>
      <c r="L91" s="1"/>
      <c r="M91" s="1"/>
      <c r="N91" s="1"/>
      <c r="O91" s="1"/>
      <c r="P91" s="1"/>
      <c r="Q91" s="104"/>
      <c r="R91" s="104"/>
      <c r="S91" s="1"/>
      <c r="T91" s="1"/>
      <c r="U91" s="1"/>
      <c r="V91" s="1"/>
      <c r="W91" s="1"/>
      <c r="X91" s="1"/>
      <c r="Y91" s="1"/>
    </row>
    <row r="92" spans="1:25">
      <c r="A92" s="1"/>
      <c r="B92" s="1"/>
      <c r="C92" s="1"/>
      <c r="D92" s="1"/>
      <c r="E92" s="1"/>
      <c r="F92" s="1"/>
      <c r="G92" s="1"/>
      <c r="H92" s="1"/>
      <c r="I92" s="1"/>
      <c r="J92" s="1"/>
      <c r="K92" s="1"/>
      <c r="L92" s="1"/>
      <c r="M92" s="1"/>
      <c r="N92" s="1"/>
      <c r="O92" s="1"/>
      <c r="P92" s="1"/>
      <c r="Q92" s="104"/>
      <c r="R92" s="104"/>
      <c r="S92" s="1"/>
      <c r="T92" s="1"/>
      <c r="U92" s="1"/>
      <c r="V92" s="1"/>
      <c r="W92" s="1"/>
      <c r="X92" s="1"/>
      <c r="Y92" s="1"/>
    </row>
    <row r="93" spans="1:25">
      <c r="A93" s="1"/>
      <c r="B93" s="1"/>
      <c r="C93" s="1"/>
      <c r="D93" s="1"/>
      <c r="E93" s="1"/>
      <c r="F93" s="1"/>
      <c r="G93" s="1"/>
      <c r="H93" s="1"/>
      <c r="I93" s="1"/>
      <c r="J93" s="1"/>
      <c r="K93" s="1"/>
      <c r="L93" s="1"/>
      <c r="M93" s="1"/>
      <c r="N93" s="1"/>
      <c r="O93" s="1"/>
      <c r="P93" s="1"/>
      <c r="Q93" s="104"/>
      <c r="R93" s="104"/>
      <c r="S93" s="1"/>
      <c r="T93" s="1"/>
      <c r="U93" s="1"/>
      <c r="V93" s="1"/>
      <c r="W93" s="1"/>
      <c r="X93" s="1"/>
      <c r="Y93" s="1"/>
    </row>
    <row r="94" spans="1:25">
      <c r="A94" s="1"/>
      <c r="B94" s="1"/>
      <c r="C94" s="1"/>
      <c r="D94" s="1"/>
      <c r="E94" s="1"/>
      <c r="F94" s="1"/>
      <c r="G94" s="1"/>
      <c r="H94" s="1"/>
      <c r="I94" s="1"/>
      <c r="J94" s="1"/>
      <c r="K94" s="1"/>
      <c r="L94" s="1"/>
      <c r="M94" s="1"/>
      <c r="N94" s="1"/>
      <c r="O94" s="1"/>
      <c r="P94" s="1"/>
      <c r="Q94" s="104"/>
      <c r="R94" s="104"/>
      <c r="S94" s="1"/>
      <c r="T94" s="1"/>
      <c r="U94" s="1"/>
      <c r="V94" s="1"/>
      <c r="W94" s="1"/>
      <c r="X94" s="1"/>
      <c r="Y94" s="1"/>
    </row>
    <row r="95" spans="1:25">
      <c r="A95" s="1"/>
      <c r="B95" s="1"/>
      <c r="C95" s="1"/>
      <c r="D95" s="1"/>
      <c r="E95" s="1"/>
      <c r="F95" s="1"/>
      <c r="G95" s="1"/>
      <c r="H95" s="1"/>
      <c r="I95" s="1"/>
      <c r="J95" s="1"/>
      <c r="K95" s="1"/>
      <c r="L95" s="1"/>
      <c r="M95" s="1"/>
      <c r="N95" s="1"/>
      <c r="O95" s="1"/>
      <c r="P95" s="1"/>
      <c r="Q95" s="104"/>
      <c r="R95" s="104"/>
      <c r="S95" s="1"/>
      <c r="T95" s="1"/>
      <c r="U95" s="1"/>
      <c r="V95" s="1"/>
      <c r="W95" s="1"/>
      <c r="X95" s="1"/>
      <c r="Y95" s="1"/>
    </row>
    <row r="96" spans="1:25">
      <c r="A96" s="1"/>
      <c r="B96" s="1"/>
      <c r="C96" s="1"/>
      <c r="D96" s="1"/>
      <c r="E96" s="1"/>
      <c r="F96" s="1"/>
      <c r="G96" s="1"/>
      <c r="H96" s="1"/>
      <c r="I96" s="1"/>
      <c r="J96" s="1"/>
      <c r="K96" s="1"/>
      <c r="L96" s="1"/>
      <c r="M96" s="1"/>
      <c r="N96" s="1"/>
      <c r="O96" s="1"/>
      <c r="P96" s="1"/>
      <c r="Q96" s="104"/>
      <c r="R96" s="104"/>
      <c r="S96" s="1"/>
      <c r="T96" s="1"/>
      <c r="U96" s="1"/>
      <c r="V96" s="1"/>
      <c r="W96" s="1"/>
      <c r="X96" s="1"/>
      <c r="Y96" s="1"/>
    </row>
    <row r="97" spans="1:25">
      <c r="A97" s="1"/>
      <c r="B97" s="1"/>
      <c r="C97" s="1"/>
      <c r="D97" s="1"/>
      <c r="E97" s="1"/>
      <c r="F97" s="1"/>
      <c r="G97" s="1"/>
      <c r="H97" s="1"/>
      <c r="I97" s="1"/>
      <c r="J97" s="1"/>
      <c r="K97" s="1"/>
      <c r="L97" s="1"/>
      <c r="M97" s="1"/>
      <c r="N97" s="1"/>
      <c r="O97" s="1"/>
      <c r="P97" s="1"/>
      <c r="Q97" s="104"/>
      <c r="R97" s="104"/>
      <c r="S97" s="1"/>
      <c r="T97" s="1"/>
      <c r="U97" s="1"/>
      <c r="V97" s="1"/>
      <c r="W97" s="1"/>
      <c r="X97" s="1"/>
      <c r="Y97" s="1"/>
    </row>
    <row r="98" spans="1:25">
      <c r="A98" s="1"/>
      <c r="B98" s="1"/>
      <c r="C98" s="1"/>
      <c r="D98" s="1"/>
      <c r="E98" s="1"/>
      <c r="F98" s="1"/>
      <c r="G98" s="1"/>
      <c r="H98" s="1"/>
      <c r="I98" s="1"/>
      <c r="J98" s="1"/>
      <c r="K98" s="1"/>
      <c r="L98" s="1"/>
      <c r="M98" s="1"/>
      <c r="N98" s="1"/>
      <c r="O98" s="1"/>
      <c r="P98" s="1"/>
      <c r="Q98" s="104"/>
      <c r="R98" s="104"/>
      <c r="S98" s="1"/>
      <c r="T98" s="1"/>
      <c r="U98" s="1"/>
      <c r="V98" s="1"/>
      <c r="W98" s="1"/>
      <c r="X98" s="1"/>
      <c r="Y98" s="1"/>
    </row>
    <row r="99" spans="1:25">
      <c r="A99" s="1"/>
      <c r="B99" s="1"/>
      <c r="C99" s="1"/>
      <c r="D99" s="1"/>
      <c r="E99" s="1"/>
      <c r="F99" s="1"/>
      <c r="G99" s="1"/>
      <c r="H99" s="1"/>
      <c r="I99" s="1"/>
      <c r="J99" s="1"/>
      <c r="K99" s="1"/>
      <c r="L99" s="1"/>
      <c r="M99" s="1"/>
      <c r="N99" s="1"/>
      <c r="O99" s="1"/>
      <c r="P99" s="1"/>
      <c r="Q99" s="104"/>
      <c r="R99" s="104"/>
      <c r="S99" s="1"/>
      <c r="T99" s="1"/>
      <c r="U99" s="1"/>
      <c r="V99" s="1"/>
      <c r="W99" s="1"/>
      <c r="X99" s="1"/>
      <c r="Y99" s="1"/>
    </row>
    <row r="100" spans="1:25">
      <c r="A100" s="1"/>
      <c r="B100" s="1"/>
      <c r="C100" s="1"/>
      <c r="D100" s="1"/>
      <c r="E100" s="1"/>
      <c r="F100" s="1"/>
      <c r="G100" s="1"/>
      <c r="H100" s="1"/>
      <c r="I100" s="1"/>
      <c r="J100" s="1"/>
      <c r="K100" s="1"/>
      <c r="L100" s="1"/>
      <c r="M100" s="1"/>
      <c r="N100" s="1"/>
      <c r="O100" s="1"/>
      <c r="P100" s="1"/>
      <c r="Q100" s="104"/>
      <c r="R100" s="104"/>
      <c r="S100" s="1"/>
      <c r="T100" s="1"/>
      <c r="U100" s="1"/>
      <c r="V100" s="1"/>
      <c r="W100" s="1"/>
      <c r="X100" s="1"/>
      <c r="Y100" s="1"/>
    </row>
    <row r="101" spans="1:25">
      <c r="A101" s="1"/>
      <c r="B101" s="1"/>
      <c r="C101" s="1"/>
      <c r="D101" s="1"/>
      <c r="E101" s="1"/>
      <c r="F101" s="1"/>
      <c r="G101" s="1"/>
      <c r="H101" s="1"/>
      <c r="I101" s="1"/>
      <c r="J101" s="1"/>
      <c r="K101" s="1"/>
      <c r="L101" s="1"/>
      <c r="M101" s="1"/>
      <c r="N101" s="1"/>
      <c r="O101" s="1"/>
      <c r="P101" s="1"/>
      <c r="Q101" s="104"/>
      <c r="R101" s="104"/>
      <c r="S101" s="1"/>
      <c r="T101" s="1"/>
      <c r="U101" s="1"/>
      <c r="V101" s="1"/>
      <c r="W101" s="1"/>
      <c r="X101" s="1"/>
      <c r="Y101" s="1"/>
    </row>
    <row r="102" spans="1:25">
      <c r="A102" s="1"/>
      <c r="B102" s="1"/>
      <c r="C102" s="1"/>
      <c r="D102" s="1"/>
      <c r="E102" s="1"/>
      <c r="F102" s="1"/>
      <c r="G102" s="1"/>
      <c r="H102" s="1"/>
      <c r="I102" s="1"/>
      <c r="J102" s="1"/>
      <c r="K102" s="1"/>
      <c r="L102" s="1"/>
      <c r="M102" s="1"/>
      <c r="N102" s="1"/>
      <c r="O102" s="1"/>
      <c r="P102" s="1"/>
      <c r="Q102" s="104"/>
      <c r="R102" s="104"/>
      <c r="S102" s="1"/>
      <c r="T102" s="1"/>
      <c r="U102" s="1"/>
      <c r="V102" s="1"/>
      <c r="W102" s="1"/>
      <c r="X102" s="1"/>
      <c r="Y102" s="1"/>
    </row>
    <row r="103" spans="1:25">
      <c r="A103" s="1"/>
      <c r="B103" s="1"/>
      <c r="C103" s="1"/>
      <c r="D103" s="1"/>
      <c r="E103" s="1"/>
      <c r="F103" s="1"/>
      <c r="G103" s="1"/>
      <c r="H103" s="1"/>
      <c r="I103" s="1"/>
      <c r="J103" s="1"/>
      <c r="K103" s="1"/>
      <c r="L103" s="1"/>
      <c r="M103" s="1"/>
      <c r="N103" s="1"/>
      <c r="O103" s="1"/>
      <c r="P103" s="1"/>
      <c r="Q103" s="104"/>
      <c r="R103" s="104"/>
      <c r="S103" s="1"/>
      <c r="T103" s="1"/>
      <c r="U103" s="1"/>
      <c r="V103" s="1"/>
      <c r="W103" s="1"/>
      <c r="X103" s="1"/>
      <c r="Y103" s="1"/>
    </row>
    <row r="104" spans="1:25">
      <c r="A104" s="1"/>
      <c r="B104" s="1"/>
      <c r="C104" s="1"/>
      <c r="D104" s="1"/>
      <c r="E104" s="1"/>
      <c r="F104" s="1"/>
      <c r="G104" s="1"/>
      <c r="H104" s="1"/>
      <c r="I104" s="1"/>
      <c r="J104" s="1"/>
      <c r="K104" s="1"/>
      <c r="L104" s="1"/>
      <c r="M104" s="1"/>
      <c r="N104" s="1"/>
      <c r="O104" s="1"/>
      <c r="P104" s="1"/>
      <c r="Q104" s="104"/>
      <c r="R104" s="104"/>
      <c r="S104" s="1"/>
      <c r="T104" s="1"/>
      <c r="U104" s="1"/>
      <c r="V104" s="1"/>
      <c r="W104" s="1"/>
      <c r="X104" s="1"/>
      <c r="Y104" s="1"/>
    </row>
    <row r="105" spans="1:25">
      <c r="A105" s="1"/>
      <c r="B105" s="1"/>
      <c r="C105" s="1"/>
      <c r="D105" s="1"/>
      <c r="E105" s="1"/>
      <c r="F105" s="1"/>
      <c r="G105" s="1"/>
      <c r="H105" s="1"/>
      <c r="I105" s="1"/>
      <c r="J105" s="1"/>
      <c r="K105" s="1"/>
      <c r="L105" s="1"/>
      <c r="M105" s="1"/>
      <c r="N105" s="1"/>
      <c r="O105" s="1"/>
      <c r="P105" s="1"/>
      <c r="Q105" s="104"/>
      <c r="R105" s="104"/>
      <c r="S105" s="1"/>
      <c r="T105" s="1"/>
      <c r="U105" s="1"/>
      <c r="V105" s="1"/>
      <c r="W105" s="1"/>
      <c r="X105" s="1"/>
      <c r="Y105" s="1"/>
    </row>
    <row r="106" spans="1:25">
      <c r="A106" s="1"/>
      <c r="B106" s="1"/>
      <c r="C106" s="1"/>
      <c r="D106" s="1"/>
      <c r="E106" s="1"/>
      <c r="F106" s="1"/>
      <c r="G106" s="1"/>
      <c r="H106" s="1"/>
      <c r="I106" s="1"/>
      <c r="J106" s="1"/>
      <c r="K106" s="1"/>
      <c r="L106" s="1"/>
      <c r="M106" s="1"/>
      <c r="N106" s="1"/>
      <c r="O106" s="1"/>
      <c r="P106" s="1"/>
      <c r="Q106" s="104"/>
      <c r="R106" s="104"/>
      <c r="S106" s="1"/>
      <c r="T106" s="1"/>
      <c r="U106" s="1"/>
      <c r="V106" s="1"/>
      <c r="W106" s="1"/>
      <c r="X106" s="1"/>
      <c r="Y106" s="1"/>
    </row>
    <row r="107" spans="1:25">
      <c r="A107" s="1"/>
      <c r="B107" s="1"/>
      <c r="C107" s="1"/>
      <c r="D107" s="1"/>
      <c r="E107" s="1"/>
      <c r="F107" s="1"/>
      <c r="G107" s="1"/>
      <c r="H107" s="1"/>
      <c r="I107" s="1"/>
      <c r="J107" s="1"/>
      <c r="K107" s="1"/>
      <c r="L107" s="1"/>
      <c r="M107" s="1"/>
      <c r="N107" s="1"/>
      <c r="O107" s="1"/>
      <c r="P107" s="1"/>
      <c r="Q107" s="104"/>
      <c r="R107" s="104"/>
      <c r="S107" s="1"/>
      <c r="T107" s="1"/>
      <c r="U107" s="1"/>
      <c r="V107" s="1"/>
      <c r="W107" s="1"/>
      <c r="X107" s="1"/>
      <c r="Y107" s="1"/>
    </row>
    <row r="108" spans="1:25">
      <c r="A108" s="1"/>
      <c r="B108" s="1"/>
      <c r="C108" s="1"/>
      <c r="D108" s="1"/>
      <c r="E108" s="1"/>
      <c r="F108" s="1"/>
      <c r="G108" s="1"/>
      <c r="H108" s="1"/>
      <c r="I108" s="1"/>
      <c r="J108" s="1"/>
      <c r="K108" s="1"/>
      <c r="L108" s="1"/>
      <c r="M108" s="1"/>
      <c r="N108" s="1"/>
      <c r="O108" s="1"/>
      <c r="P108" s="1"/>
      <c r="Q108" s="104"/>
      <c r="R108" s="104"/>
      <c r="S108" s="1"/>
      <c r="T108" s="1"/>
      <c r="U108" s="1"/>
      <c r="V108" s="1"/>
      <c r="W108" s="1"/>
      <c r="X108" s="1"/>
      <c r="Y108" s="1"/>
    </row>
    <row r="109" spans="1:25">
      <c r="A109" s="1"/>
      <c r="B109" s="1"/>
      <c r="C109" s="1"/>
      <c r="D109" s="1"/>
      <c r="E109" s="1"/>
      <c r="F109" s="1"/>
      <c r="G109" s="1"/>
      <c r="H109" s="1"/>
      <c r="I109" s="1"/>
      <c r="J109" s="1"/>
      <c r="K109" s="1"/>
      <c r="L109" s="1"/>
      <c r="M109" s="1"/>
      <c r="N109" s="1"/>
      <c r="O109" s="1"/>
      <c r="P109" s="1"/>
      <c r="Q109" s="104"/>
      <c r="R109" s="104"/>
      <c r="S109" s="1"/>
      <c r="T109" s="1"/>
      <c r="U109" s="1"/>
      <c r="V109" s="1"/>
      <c r="W109" s="1"/>
      <c r="X109" s="1"/>
      <c r="Y109" s="1"/>
    </row>
    <row r="110" spans="1:25">
      <c r="A110" s="1"/>
      <c r="B110" s="1"/>
      <c r="C110" s="1"/>
      <c r="D110" s="1"/>
      <c r="E110" s="1"/>
      <c r="F110" s="1"/>
      <c r="G110" s="1"/>
      <c r="H110" s="1"/>
      <c r="I110" s="1"/>
      <c r="J110" s="1"/>
      <c r="K110" s="1"/>
      <c r="L110" s="1"/>
      <c r="M110" s="1"/>
      <c r="N110" s="1"/>
      <c r="O110" s="1"/>
      <c r="P110" s="1"/>
      <c r="Q110" s="104"/>
      <c r="R110" s="104"/>
      <c r="S110" s="1"/>
      <c r="T110" s="1"/>
      <c r="U110" s="1"/>
      <c r="V110" s="1"/>
      <c r="W110" s="1"/>
      <c r="X110" s="1"/>
      <c r="Y110" s="1"/>
    </row>
    <row r="111" spans="1:25">
      <c r="A111" s="1"/>
      <c r="B111" s="1"/>
      <c r="C111" s="1"/>
      <c r="D111" s="1"/>
      <c r="E111" s="1"/>
      <c r="F111" s="1"/>
      <c r="G111" s="1"/>
      <c r="H111" s="1"/>
      <c r="I111" s="1"/>
      <c r="J111" s="1"/>
      <c r="K111" s="1"/>
      <c r="L111" s="1"/>
      <c r="M111" s="1"/>
      <c r="N111" s="1"/>
      <c r="O111" s="1"/>
      <c r="P111" s="1"/>
      <c r="Q111" s="104"/>
      <c r="R111" s="104"/>
      <c r="S111" s="1"/>
      <c r="T111" s="1"/>
      <c r="U111" s="1"/>
      <c r="V111" s="1"/>
      <c r="W111" s="1"/>
      <c r="X111" s="1"/>
      <c r="Y111" s="1"/>
    </row>
    <row r="112" spans="1:25">
      <c r="A112" s="1"/>
      <c r="B112" s="1"/>
      <c r="C112" s="1"/>
      <c r="D112" s="1"/>
      <c r="E112" s="1"/>
      <c r="F112" s="1"/>
      <c r="G112" s="1"/>
      <c r="H112" s="1"/>
      <c r="I112" s="1"/>
      <c r="J112" s="1"/>
      <c r="K112" s="1"/>
      <c r="L112" s="1"/>
      <c r="M112" s="1"/>
      <c r="N112" s="1"/>
      <c r="O112" s="1"/>
      <c r="P112" s="1"/>
      <c r="Q112" s="104"/>
      <c r="R112" s="104"/>
      <c r="S112" s="1"/>
      <c r="T112" s="1"/>
      <c r="U112" s="1"/>
      <c r="V112" s="1"/>
      <c r="W112" s="1"/>
      <c r="X112" s="1"/>
      <c r="Y112" s="1"/>
    </row>
    <row r="113" spans="1:25">
      <c r="A113" s="1"/>
      <c r="B113" s="1"/>
      <c r="C113" s="1"/>
      <c r="D113" s="1"/>
      <c r="E113" s="1"/>
      <c r="F113" s="1"/>
      <c r="G113" s="1"/>
      <c r="H113" s="1"/>
      <c r="I113" s="1"/>
      <c r="J113" s="1"/>
      <c r="K113" s="1"/>
      <c r="L113" s="1"/>
      <c r="M113" s="1"/>
      <c r="N113" s="1"/>
      <c r="O113" s="1"/>
      <c r="P113" s="1"/>
      <c r="Q113" s="104"/>
      <c r="R113" s="104"/>
      <c r="S113" s="1"/>
      <c r="T113" s="1"/>
      <c r="U113" s="1"/>
      <c r="V113" s="1"/>
      <c r="W113" s="1"/>
      <c r="X113" s="1"/>
      <c r="Y113" s="1"/>
    </row>
    <row r="114" spans="1:25">
      <c r="A114" s="1"/>
      <c r="B114" s="1"/>
      <c r="C114" s="1"/>
      <c r="D114" s="1"/>
      <c r="E114" s="1"/>
      <c r="F114" s="1"/>
      <c r="G114" s="1"/>
      <c r="H114" s="1"/>
      <c r="I114" s="1"/>
      <c r="J114" s="1"/>
      <c r="K114" s="1"/>
      <c r="L114" s="1"/>
      <c r="M114" s="1"/>
      <c r="N114" s="1"/>
      <c r="O114" s="1"/>
      <c r="P114" s="1"/>
      <c r="Q114" s="104"/>
      <c r="R114" s="104"/>
      <c r="S114" s="1"/>
      <c r="T114" s="1"/>
      <c r="U114" s="1"/>
      <c r="V114" s="1"/>
      <c r="W114" s="1"/>
      <c r="X114" s="1"/>
      <c r="Y114" s="1"/>
    </row>
    <row r="115" spans="1:25">
      <c r="A115" s="1"/>
      <c r="B115" s="1"/>
      <c r="C115" s="1"/>
      <c r="D115" s="1"/>
      <c r="E115" s="1"/>
      <c r="F115" s="1"/>
      <c r="G115" s="1"/>
      <c r="H115" s="1"/>
      <c r="I115" s="1"/>
      <c r="J115" s="1"/>
      <c r="K115" s="1"/>
      <c r="L115" s="1"/>
      <c r="M115" s="1"/>
      <c r="N115" s="1"/>
      <c r="O115" s="1"/>
      <c r="P115" s="1"/>
      <c r="Q115" s="104"/>
      <c r="R115" s="104"/>
      <c r="S115" s="1"/>
      <c r="T115" s="1"/>
      <c r="U115" s="1"/>
      <c r="V115" s="1"/>
      <c r="W115" s="1"/>
      <c r="X115" s="1"/>
      <c r="Y115" s="1"/>
    </row>
    <row r="116" spans="1:25">
      <c r="A116" s="1"/>
      <c r="B116" s="1"/>
      <c r="C116" s="1"/>
      <c r="D116" s="1"/>
      <c r="E116" s="1"/>
      <c r="F116" s="1"/>
      <c r="G116" s="1"/>
      <c r="H116" s="1"/>
      <c r="I116" s="1"/>
      <c r="J116" s="1"/>
      <c r="K116" s="1"/>
      <c r="L116" s="1"/>
      <c r="M116" s="1"/>
      <c r="N116" s="1"/>
      <c r="O116" s="1"/>
      <c r="P116" s="1"/>
      <c r="Q116" s="104"/>
      <c r="R116" s="104"/>
      <c r="S116" s="1"/>
      <c r="T116" s="1"/>
      <c r="U116" s="1"/>
      <c r="V116" s="1"/>
      <c r="W116" s="1"/>
      <c r="X116" s="1"/>
      <c r="Y116" s="1"/>
    </row>
    <row r="117" spans="1:25">
      <c r="A117" s="1"/>
      <c r="B117" s="1"/>
      <c r="C117" s="1"/>
      <c r="D117" s="1"/>
      <c r="E117" s="1"/>
      <c r="F117" s="1"/>
      <c r="G117" s="1"/>
      <c r="H117" s="1"/>
      <c r="I117" s="1"/>
      <c r="J117" s="1"/>
      <c r="K117" s="1"/>
      <c r="L117" s="1"/>
      <c r="M117" s="1"/>
      <c r="N117" s="1"/>
      <c r="O117" s="1"/>
      <c r="P117" s="1"/>
      <c r="Q117" s="104"/>
      <c r="R117" s="104"/>
      <c r="S117" s="1"/>
      <c r="T117" s="1"/>
      <c r="U117" s="1"/>
      <c r="V117" s="1"/>
      <c r="W117" s="1"/>
      <c r="X117" s="1"/>
      <c r="Y117" s="1"/>
    </row>
    <row r="118" spans="1:25">
      <c r="A118" s="1"/>
      <c r="B118" s="1"/>
      <c r="C118" s="1"/>
      <c r="D118" s="1"/>
      <c r="E118" s="1"/>
      <c r="F118" s="1"/>
      <c r="G118" s="1"/>
      <c r="H118" s="1"/>
      <c r="I118" s="1"/>
      <c r="J118" s="1"/>
      <c r="K118" s="1"/>
      <c r="L118" s="1"/>
      <c r="M118" s="1"/>
      <c r="N118" s="1"/>
      <c r="O118" s="1"/>
      <c r="P118" s="1"/>
      <c r="Q118" s="104"/>
      <c r="R118" s="104"/>
      <c r="S118" s="1"/>
      <c r="T118" s="1"/>
      <c r="U118" s="1"/>
      <c r="V118" s="1"/>
      <c r="W118" s="1"/>
      <c r="X118" s="1"/>
      <c r="Y118" s="1"/>
    </row>
    <row r="119" spans="1:25">
      <c r="A119" s="1"/>
      <c r="B119" s="1"/>
      <c r="C119" s="1"/>
      <c r="D119" s="1"/>
      <c r="E119" s="1"/>
      <c r="F119" s="1"/>
      <c r="G119" s="1"/>
      <c r="H119" s="1"/>
      <c r="I119" s="1"/>
      <c r="J119" s="1"/>
      <c r="K119" s="1"/>
      <c r="L119" s="1"/>
      <c r="M119" s="1"/>
      <c r="N119" s="1"/>
      <c r="O119" s="1"/>
      <c r="P119" s="1"/>
      <c r="Q119" s="104"/>
      <c r="R119" s="104"/>
      <c r="S119" s="1"/>
      <c r="T119" s="1"/>
      <c r="U119" s="1"/>
      <c r="V119" s="1"/>
      <c r="W119" s="1"/>
      <c r="X119" s="1"/>
      <c r="Y119" s="1"/>
    </row>
    <row r="120" spans="1:25">
      <c r="A120" s="1"/>
      <c r="B120" s="1"/>
      <c r="C120" s="1"/>
      <c r="D120" s="1"/>
      <c r="E120" s="1"/>
      <c r="F120" s="1"/>
      <c r="G120" s="1"/>
      <c r="H120" s="1"/>
      <c r="I120" s="1"/>
      <c r="J120" s="1"/>
      <c r="K120" s="1"/>
      <c r="L120" s="1"/>
      <c r="M120" s="1"/>
      <c r="N120" s="1"/>
      <c r="O120" s="1"/>
      <c r="P120" s="1"/>
      <c r="Q120" s="104"/>
      <c r="R120" s="104"/>
      <c r="S120" s="1"/>
      <c r="T120" s="1"/>
      <c r="U120" s="1"/>
      <c r="V120" s="1"/>
      <c r="W120" s="1"/>
      <c r="X120" s="1"/>
      <c r="Y120" s="1"/>
    </row>
    <row r="121" spans="1:25">
      <c r="A121" s="1"/>
      <c r="B121" s="1"/>
      <c r="C121" s="1"/>
      <c r="D121" s="1"/>
      <c r="E121" s="1"/>
      <c r="F121" s="1"/>
      <c r="G121" s="1"/>
      <c r="H121" s="1"/>
      <c r="I121" s="1"/>
      <c r="J121" s="1"/>
      <c r="K121" s="1"/>
      <c r="L121" s="1"/>
      <c r="M121" s="1"/>
      <c r="N121" s="1"/>
      <c r="O121" s="1"/>
      <c r="P121" s="1"/>
      <c r="Q121" s="104"/>
      <c r="R121" s="104"/>
      <c r="S121" s="1"/>
      <c r="T121" s="1"/>
      <c r="U121" s="1"/>
      <c r="V121" s="1"/>
      <c r="W121" s="1"/>
      <c r="X121" s="1"/>
      <c r="Y121" s="1"/>
    </row>
    <row r="122" spans="1:25">
      <c r="A122" s="1"/>
      <c r="B122" s="1"/>
      <c r="C122" s="1"/>
      <c r="D122" s="1"/>
      <c r="E122" s="1"/>
      <c r="F122" s="1"/>
      <c r="G122" s="1"/>
      <c r="H122" s="1"/>
      <c r="I122" s="1"/>
      <c r="J122" s="1"/>
      <c r="K122" s="1"/>
      <c r="L122" s="1"/>
      <c r="M122" s="1"/>
      <c r="N122" s="1"/>
      <c r="O122" s="1"/>
      <c r="P122" s="1"/>
      <c r="Q122" s="104"/>
      <c r="R122" s="104"/>
      <c r="S122" s="1"/>
      <c r="T122" s="1"/>
      <c r="U122" s="1"/>
      <c r="V122" s="1"/>
      <c r="W122" s="1"/>
      <c r="X122" s="1"/>
      <c r="Y122" s="1"/>
    </row>
    <row r="123" spans="1:25">
      <c r="A123" s="1"/>
      <c r="B123" s="1"/>
      <c r="C123" s="1"/>
      <c r="D123" s="1"/>
      <c r="E123" s="1"/>
      <c r="F123" s="1"/>
      <c r="G123" s="1"/>
      <c r="H123" s="1"/>
      <c r="I123" s="1"/>
      <c r="J123" s="1"/>
      <c r="K123" s="1"/>
      <c r="L123" s="1"/>
      <c r="M123" s="1"/>
      <c r="N123" s="1"/>
      <c r="O123" s="1"/>
      <c r="P123" s="1"/>
      <c r="Q123" s="104"/>
      <c r="R123" s="104"/>
      <c r="S123" s="1"/>
      <c r="T123" s="1"/>
      <c r="U123" s="1"/>
      <c r="V123" s="1"/>
      <c r="W123" s="1"/>
      <c r="X123" s="1"/>
      <c r="Y123" s="1"/>
    </row>
    <row r="124" spans="1:25">
      <c r="A124" s="1"/>
      <c r="B124" s="1"/>
      <c r="C124" s="1"/>
      <c r="D124" s="1"/>
      <c r="E124" s="1"/>
      <c r="F124" s="1"/>
      <c r="G124" s="1"/>
      <c r="H124" s="1"/>
      <c r="I124" s="1"/>
      <c r="J124" s="1"/>
      <c r="K124" s="1"/>
      <c r="L124" s="1"/>
      <c r="M124" s="1"/>
      <c r="N124" s="1"/>
      <c r="O124" s="1"/>
      <c r="P124" s="1"/>
      <c r="Q124" s="104"/>
      <c r="R124" s="104"/>
      <c r="S124" s="1"/>
      <c r="T124" s="1"/>
      <c r="U124" s="1"/>
      <c r="V124" s="1"/>
      <c r="W124" s="1"/>
      <c r="X124" s="1"/>
      <c r="Y124" s="1"/>
    </row>
    <row r="125" spans="1:25">
      <c r="A125" s="1"/>
      <c r="B125" s="1"/>
      <c r="C125" s="1"/>
      <c r="D125" s="1"/>
      <c r="E125" s="1"/>
      <c r="F125" s="1"/>
      <c r="G125" s="1"/>
      <c r="H125" s="1"/>
      <c r="I125" s="1"/>
      <c r="J125" s="1"/>
      <c r="K125" s="1"/>
      <c r="L125" s="1"/>
      <c r="M125" s="1"/>
      <c r="N125" s="1"/>
      <c r="O125" s="1"/>
      <c r="P125" s="1"/>
      <c r="Q125" s="104"/>
      <c r="R125" s="104"/>
      <c r="S125" s="1"/>
      <c r="T125" s="1"/>
      <c r="U125" s="1"/>
      <c r="V125" s="1"/>
      <c r="W125" s="1"/>
      <c r="X125" s="1"/>
      <c r="Y125" s="1"/>
    </row>
    <row r="126" spans="1:25">
      <c r="A126" s="1"/>
      <c r="B126" s="1"/>
      <c r="C126" s="1"/>
      <c r="D126" s="1"/>
      <c r="E126" s="1"/>
      <c r="F126" s="1"/>
      <c r="G126" s="1"/>
      <c r="H126" s="1"/>
      <c r="I126" s="1"/>
      <c r="J126" s="1"/>
      <c r="K126" s="1"/>
      <c r="L126" s="1"/>
      <c r="M126" s="1"/>
      <c r="N126" s="1"/>
      <c r="O126" s="1"/>
      <c r="P126" s="1"/>
      <c r="Q126" s="104"/>
      <c r="R126" s="104"/>
      <c r="S126" s="1"/>
      <c r="T126" s="1"/>
      <c r="U126" s="1"/>
      <c r="V126" s="1"/>
      <c r="W126" s="1"/>
      <c r="X126" s="1"/>
      <c r="Y126" s="1"/>
    </row>
    <row r="127" spans="1:25">
      <c r="A127" s="1"/>
      <c r="B127" s="1"/>
      <c r="C127" s="1"/>
      <c r="D127" s="1"/>
      <c r="E127" s="1"/>
      <c r="F127" s="1"/>
      <c r="G127" s="1"/>
      <c r="H127" s="1"/>
      <c r="I127" s="1"/>
      <c r="J127" s="1"/>
      <c r="K127" s="1"/>
      <c r="L127" s="1"/>
      <c r="M127" s="1"/>
      <c r="N127" s="1"/>
      <c r="O127" s="1"/>
      <c r="P127" s="1"/>
      <c r="Q127" s="104"/>
      <c r="R127" s="104"/>
      <c r="S127" s="1"/>
      <c r="T127" s="1"/>
      <c r="U127" s="1"/>
      <c r="V127" s="1"/>
      <c r="W127" s="1"/>
      <c r="X127" s="1"/>
      <c r="Y127" s="1"/>
    </row>
    <row r="128" spans="1:25">
      <c r="A128" s="1"/>
      <c r="B128" s="1"/>
      <c r="C128" s="1"/>
      <c r="D128" s="1"/>
      <c r="E128" s="1"/>
      <c r="F128" s="1"/>
      <c r="G128" s="1"/>
      <c r="H128" s="1"/>
      <c r="I128" s="1"/>
      <c r="J128" s="1"/>
      <c r="K128" s="1"/>
      <c r="L128" s="1"/>
      <c r="M128" s="1"/>
      <c r="N128" s="1"/>
      <c r="O128" s="1"/>
      <c r="P128" s="1"/>
      <c r="Q128" s="104"/>
      <c r="R128" s="104"/>
      <c r="S128" s="1"/>
      <c r="T128" s="1"/>
      <c r="U128" s="1"/>
      <c r="V128" s="1"/>
      <c r="W128" s="1"/>
      <c r="X128" s="1"/>
      <c r="Y128" s="1"/>
    </row>
    <row r="129" spans="1:25">
      <c r="A129" s="1"/>
      <c r="B129" s="1"/>
      <c r="C129" s="1"/>
      <c r="D129" s="1"/>
      <c r="E129" s="1"/>
      <c r="F129" s="1"/>
      <c r="G129" s="1"/>
      <c r="H129" s="1"/>
      <c r="I129" s="1"/>
      <c r="J129" s="1"/>
      <c r="K129" s="1"/>
      <c r="L129" s="1"/>
      <c r="M129" s="1"/>
      <c r="N129" s="1"/>
      <c r="O129" s="1"/>
      <c r="P129" s="1"/>
      <c r="Q129" s="104"/>
      <c r="R129" s="104"/>
      <c r="S129" s="1"/>
      <c r="T129" s="1"/>
      <c r="U129" s="1"/>
      <c r="V129" s="1"/>
      <c r="W129" s="1"/>
      <c r="X129" s="1"/>
      <c r="Y129" s="1"/>
    </row>
    <row r="130" spans="1:25">
      <c r="A130" s="1"/>
      <c r="B130" s="1"/>
      <c r="C130" s="1"/>
      <c r="D130" s="1"/>
      <c r="E130" s="1"/>
      <c r="F130" s="1"/>
      <c r="G130" s="1"/>
      <c r="H130" s="1"/>
      <c r="I130" s="1"/>
      <c r="J130" s="1"/>
      <c r="K130" s="1"/>
      <c r="L130" s="1"/>
      <c r="M130" s="1"/>
      <c r="N130" s="1"/>
      <c r="O130" s="1"/>
      <c r="P130" s="1"/>
      <c r="Q130" s="104"/>
      <c r="R130" s="104"/>
      <c r="S130" s="1"/>
      <c r="T130" s="1"/>
      <c r="U130" s="1"/>
      <c r="V130" s="1"/>
      <c r="W130" s="1"/>
      <c r="X130" s="1"/>
      <c r="Y130" s="1"/>
    </row>
    <row r="131" spans="1:25">
      <c r="A131" s="1"/>
      <c r="B131" s="1"/>
      <c r="C131" s="1"/>
      <c r="D131" s="1"/>
      <c r="E131" s="1"/>
      <c r="F131" s="1"/>
      <c r="G131" s="1"/>
      <c r="H131" s="1"/>
      <c r="I131" s="1"/>
      <c r="J131" s="1"/>
      <c r="K131" s="1"/>
      <c r="L131" s="1"/>
      <c r="M131" s="1"/>
      <c r="N131" s="1"/>
      <c r="O131" s="1"/>
      <c r="P131" s="1"/>
      <c r="Q131" s="104"/>
      <c r="R131" s="104"/>
      <c r="S131" s="1"/>
      <c r="T131" s="1"/>
      <c r="U131" s="1"/>
      <c r="V131" s="1"/>
      <c r="W131" s="1"/>
      <c r="X131" s="1"/>
      <c r="Y131" s="1"/>
    </row>
    <row r="132" spans="1:25">
      <c r="A132" s="1"/>
      <c r="B132" s="1"/>
      <c r="C132" s="1"/>
      <c r="D132" s="1"/>
      <c r="E132" s="1"/>
      <c r="F132" s="1"/>
      <c r="G132" s="1"/>
      <c r="H132" s="1"/>
      <c r="I132" s="1"/>
      <c r="J132" s="1"/>
      <c r="K132" s="1"/>
      <c r="L132" s="1"/>
      <c r="M132" s="1"/>
      <c r="N132" s="1"/>
      <c r="O132" s="1"/>
      <c r="P132" s="1"/>
      <c r="Q132" s="104"/>
      <c r="R132" s="104"/>
      <c r="S132" s="1"/>
      <c r="T132" s="1"/>
      <c r="U132" s="1"/>
      <c r="V132" s="1"/>
      <c r="W132" s="1"/>
      <c r="X132" s="1"/>
      <c r="Y132" s="1"/>
    </row>
    <row r="133" spans="1:25">
      <c r="A133" s="1"/>
      <c r="B133" s="1"/>
      <c r="C133" s="1"/>
      <c r="D133" s="1"/>
      <c r="E133" s="1"/>
      <c r="F133" s="1"/>
      <c r="G133" s="1"/>
      <c r="H133" s="1"/>
      <c r="I133" s="1"/>
      <c r="J133" s="1"/>
      <c r="K133" s="1"/>
      <c r="L133" s="1"/>
      <c r="M133" s="1"/>
      <c r="N133" s="1"/>
      <c r="O133" s="1"/>
      <c r="P133" s="1"/>
      <c r="Q133" s="104"/>
      <c r="R133" s="104"/>
      <c r="S133" s="1"/>
      <c r="T133" s="1"/>
      <c r="U133" s="1"/>
      <c r="V133" s="1"/>
      <c r="W133" s="1"/>
      <c r="X133" s="1"/>
      <c r="Y133" s="1"/>
    </row>
    <row r="134" spans="1:25">
      <c r="A134" s="1"/>
      <c r="B134" s="1"/>
      <c r="C134" s="1"/>
      <c r="D134" s="1"/>
      <c r="E134" s="1"/>
      <c r="F134" s="1"/>
      <c r="G134" s="1"/>
      <c r="H134" s="1"/>
      <c r="I134" s="1"/>
      <c r="J134" s="1"/>
      <c r="K134" s="1"/>
      <c r="L134" s="1"/>
      <c r="M134" s="1"/>
      <c r="N134" s="1"/>
      <c r="O134" s="1"/>
      <c r="P134" s="1"/>
      <c r="Q134" s="104"/>
      <c r="R134" s="104"/>
      <c r="S134" s="1"/>
      <c r="T134" s="1"/>
      <c r="U134" s="1"/>
      <c r="V134" s="1"/>
      <c r="W134" s="1"/>
      <c r="X134" s="1"/>
      <c r="Y134" s="1"/>
    </row>
    <row r="135" spans="1:25">
      <c r="A135" s="1"/>
      <c r="B135" s="1"/>
      <c r="C135" s="1"/>
      <c r="D135" s="1"/>
      <c r="E135" s="1"/>
      <c r="F135" s="1"/>
      <c r="G135" s="1"/>
      <c r="H135" s="1"/>
      <c r="I135" s="1"/>
      <c r="J135" s="1"/>
      <c r="K135" s="1"/>
      <c r="L135" s="1"/>
      <c r="M135" s="1"/>
      <c r="N135" s="1"/>
      <c r="O135" s="1"/>
      <c r="P135" s="1"/>
      <c r="Q135" s="104"/>
      <c r="R135" s="104"/>
      <c r="S135" s="1"/>
      <c r="T135" s="1"/>
      <c r="U135" s="1"/>
      <c r="V135" s="1"/>
      <c r="W135" s="1"/>
      <c r="X135" s="1"/>
      <c r="Y135" s="1"/>
    </row>
    <row r="136" spans="1:25">
      <c r="A136" s="1"/>
      <c r="B136" s="1"/>
      <c r="C136" s="1"/>
      <c r="D136" s="1"/>
      <c r="E136" s="1"/>
      <c r="F136" s="1"/>
      <c r="G136" s="1"/>
      <c r="H136" s="1"/>
      <c r="I136" s="1"/>
      <c r="J136" s="1"/>
      <c r="K136" s="1"/>
      <c r="L136" s="1"/>
      <c r="M136" s="1"/>
      <c r="N136" s="1"/>
      <c r="O136" s="1"/>
      <c r="P136" s="1"/>
      <c r="Q136" s="104"/>
      <c r="R136" s="104"/>
      <c r="S136" s="1"/>
      <c r="T136" s="1"/>
      <c r="U136" s="1"/>
      <c r="V136" s="1"/>
      <c r="W136" s="1"/>
      <c r="X136" s="1"/>
      <c r="Y136" s="1"/>
    </row>
    <row r="137" spans="1:25">
      <c r="A137" s="1"/>
      <c r="B137" s="1"/>
      <c r="C137" s="1"/>
      <c r="D137" s="1"/>
      <c r="E137" s="1"/>
      <c r="F137" s="1"/>
      <c r="G137" s="1"/>
      <c r="H137" s="1"/>
      <c r="I137" s="1"/>
      <c r="J137" s="1"/>
      <c r="K137" s="1"/>
      <c r="L137" s="1"/>
      <c r="M137" s="1"/>
      <c r="N137" s="1"/>
      <c r="O137" s="1"/>
      <c r="P137" s="1"/>
      <c r="Q137" s="104"/>
      <c r="R137" s="104"/>
      <c r="S137" s="1"/>
      <c r="T137" s="1"/>
      <c r="U137" s="1"/>
      <c r="V137" s="1"/>
      <c r="W137" s="1"/>
      <c r="X137" s="1"/>
      <c r="Y137" s="1"/>
    </row>
    <row r="138" spans="1:25">
      <c r="A138" s="1"/>
      <c r="B138" s="1"/>
      <c r="C138" s="1"/>
      <c r="D138" s="1"/>
      <c r="E138" s="1"/>
      <c r="F138" s="1"/>
      <c r="G138" s="1"/>
      <c r="H138" s="1"/>
      <c r="I138" s="1"/>
      <c r="J138" s="1"/>
      <c r="K138" s="1"/>
      <c r="L138" s="1"/>
      <c r="M138" s="1"/>
      <c r="N138" s="1"/>
      <c r="O138" s="1"/>
      <c r="P138" s="1"/>
      <c r="Q138" s="104"/>
      <c r="R138" s="104"/>
      <c r="S138" s="1"/>
      <c r="T138" s="1"/>
      <c r="U138" s="1"/>
      <c r="V138" s="1"/>
      <c r="W138" s="1"/>
      <c r="X138" s="1"/>
      <c r="Y138" s="1"/>
    </row>
    <row r="139" spans="1:25">
      <c r="A139" s="1"/>
      <c r="B139" s="1"/>
      <c r="C139" s="1"/>
      <c r="D139" s="1"/>
      <c r="E139" s="1"/>
      <c r="F139" s="1"/>
      <c r="G139" s="1"/>
      <c r="H139" s="1"/>
      <c r="I139" s="1"/>
      <c r="J139" s="1"/>
      <c r="K139" s="1"/>
      <c r="L139" s="1"/>
      <c r="M139" s="1"/>
      <c r="N139" s="1"/>
      <c r="O139" s="1"/>
      <c r="P139" s="1"/>
      <c r="Q139" s="104"/>
      <c r="R139" s="104"/>
      <c r="S139" s="1"/>
      <c r="T139" s="1"/>
      <c r="U139" s="1"/>
      <c r="V139" s="1"/>
      <c r="W139" s="1"/>
      <c r="X139" s="1"/>
      <c r="Y139" s="1"/>
    </row>
    <row r="140" spans="1:25">
      <c r="A140" s="1"/>
      <c r="B140" s="1"/>
      <c r="C140" s="1"/>
      <c r="D140" s="1"/>
      <c r="E140" s="1"/>
      <c r="F140" s="1"/>
      <c r="G140" s="1"/>
      <c r="H140" s="1"/>
      <c r="I140" s="1"/>
      <c r="J140" s="1"/>
      <c r="K140" s="1"/>
      <c r="L140" s="1"/>
      <c r="M140" s="1"/>
      <c r="N140" s="1"/>
      <c r="O140" s="1"/>
      <c r="P140" s="1"/>
      <c r="Q140" s="104"/>
      <c r="R140" s="104"/>
      <c r="S140" s="1"/>
      <c r="T140" s="1"/>
      <c r="U140" s="1"/>
      <c r="V140" s="1"/>
      <c r="W140" s="1"/>
      <c r="X140" s="1"/>
      <c r="Y140" s="1"/>
    </row>
    <row r="141" spans="1:25">
      <c r="A141" s="1"/>
      <c r="B141" s="1"/>
      <c r="C141" s="1"/>
      <c r="D141" s="1"/>
      <c r="E141" s="1"/>
      <c r="F141" s="1"/>
      <c r="G141" s="1"/>
      <c r="H141" s="1"/>
      <c r="I141" s="1"/>
      <c r="J141" s="1"/>
      <c r="K141" s="1"/>
      <c r="L141" s="1"/>
      <c r="M141" s="1"/>
      <c r="N141" s="1"/>
      <c r="O141" s="1"/>
      <c r="P141" s="1"/>
      <c r="Q141" s="104"/>
      <c r="R141" s="104"/>
      <c r="S141" s="1"/>
      <c r="T141" s="1"/>
      <c r="U141" s="1"/>
      <c r="V141" s="1"/>
      <c r="W141" s="1"/>
      <c r="X141" s="1"/>
      <c r="Y141" s="1"/>
    </row>
    <row r="142" spans="1:25">
      <c r="A142" s="1"/>
      <c r="B142" s="1"/>
      <c r="C142" s="1"/>
      <c r="D142" s="1"/>
      <c r="E142" s="1"/>
      <c r="F142" s="1"/>
      <c r="G142" s="1"/>
      <c r="H142" s="1"/>
      <c r="I142" s="1"/>
      <c r="J142" s="1"/>
      <c r="K142" s="1"/>
      <c r="L142" s="1"/>
      <c r="M142" s="1"/>
      <c r="N142" s="1"/>
      <c r="O142" s="1"/>
      <c r="P142" s="1"/>
      <c r="Q142" s="104"/>
      <c r="R142" s="104"/>
      <c r="S142" s="1"/>
      <c r="T142" s="1"/>
      <c r="U142" s="1"/>
      <c r="V142" s="1"/>
      <c r="W142" s="1"/>
      <c r="X142" s="1"/>
      <c r="Y142" s="1"/>
    </row>
    <row r="143" spans="1:25">
      <c r="A143" s="1"/>
      <c r="B143" s="1"/>
      <c r="C143" s="1"/>
      <c r="D143" s="1"/>
      <c r="E143" s="1"/>
      <c r="F143" s="1"/>
      <c r="G143" s="1"/>
      <c r="H143" s="1"/>
      <c r="I143" s="1"/>
      <c r="J143" s="1"/>
      <c r="K143" s="1"/>
      <c r="L143" s="1"/>
      <c r="M143" s="1"/>
      <c r="N143" s="1"/>
      <c r="O143" s="1"/>
      <c r="P143" s="1"/>
      <c r="Q143" s="104"/>
      <c r="R143" s="104"/>
      <c r="S143" s="1"/>
      <c r="T143" s="1"/>
      <c r="U143" s="1"/>
      <c r="V143" s="1"/>
      <c r="W143" s="1"/>
      <c r="X143" s="1"/>
      <c r="Y143" s="1"/>
    </row>
    <row r="144" spans="1:25">
      <c r="A144" s="1"/>
      <c r="B144" s="1"/>
      <c r="C144" s="1"/>
      <c r="D144" s="1"/>
      <c r="E144" s="1"/>
      <c r="F144" s="1"/>
      <c r="G144" s="1"/>
      <c r="H144" s="1"/>
      <c r="I144" s="1"/>
      <c r="J144" s="1"/>
      <c r="K144" s="1"/>
      <c r="L144" s="1"/>
      <c r="M144" s="1"/>
      <c r="N144" s="1"/>
      <c r="O144" s="1"/>
      <c r="P144" s="1"/>
      <c r="Q144" s="104"/>
      <c r="R144" s="104"/>
      <c r="S144" s="1"/>
      <c r="T144" s="1"/>
      <c r="U144" s="1"/>
      <c r="V144" s="1"/>
      <c r="W144" s="1"/>
      <c r="X144" s="1"/>
      <c r="Y144" s="1"/>
    </row>
    <row r="145" spans="1:25">
      <c r="A145" s="1"/>
      <c r="B145" s="1"/>
      <c r="C145" s="1"/>
      <c r="D145" s="1"/>
      <c r="E145" s="1"/>
      <c r="F145" s="1"/>
      <c r="G145" s="1"/>
      <c r="H145" s="1"/>
      <c r="I145" s="1"/>
      <c r="J145" s="1"/>
      <c r="K145" s="1"/>
      <c r="L145" s="1"/>
      <c r="M145" s="1"/>
      <c r="N145" s="1"/>
      <c r="O145" s="1"/>
      <c r="P145" s="1"/>
      <c r="Q145" s="104"/>
      <c r="R145" s="104"/>
      <c r="S145" s="1"/>
      <c r="T145" s="1"/>
      <c r="U145" s="1"/>
      <c r="V145" s="1"/>
      <c r="W145" s="1"/>
      <c r="X145" s="1"/>
      <c r="Y145" s="1"/>
    </row>
    <row r="146" spans="1:25">
      <c r="A146" s="1"/>
      <c r="B146" s="1"/>
      <c r="C146" s="1"/>
      <c r="D146" s="1"/>
      <c r="E146" s="1"/>
      <c r="F146" s="1"/>
      <c r="G146" s="1"/>
      <c r="H146" s="1"/>
      <c r="I146" s="1"/>
      <c r="J146" s="1"/>
      <c r="K146" s="1"/>
      <c r="L146" s="1"/>
      <c r="M146" s="1"/>
      <c r="N146" s="1"/>
      <c r="O146" s="1"/>
      <c r="P146" s="1"/>
      <c r="Q146" s="104"/>
      <c r="R146" s="104"/>
      <c r="S146" s="1"/>
      <c r="T146" s="1"/>
      <c r="U146" s="1"/>
      <c r="V146" s="1"/>
      <c r="W146" s="1"/>
      <c r="X146" s="1"/>
      <c r="Y146" s="1"/>
    </row>
    <row r="147" spans="1:25">
      <c r="A147" s="1"/>
      <c r="B147" s="1"/>
      <c r="C147" s="1"/>
      <c r="D147" s="1"/>
      <c r="E147" s="1"/>
      <c r="F147" s="1"/>
      <c r="G147" s="1"/>
      <c r="H147" s="1"/>
      <c r="I147" s="1"/>
      <c r="J147" s="1"/>
      <c r="K147" s="1"/>
      <c r="L147" s="1"/>
      <c r="M147" s="1"/>
      <c r="N147" s="1"/>
      <c r="O147" s="1"/>
      <c r="P147" s="1"/>
      <c r="Q147" s="104"/>
      <c r="R147" s="104"/>
      <c r="S147" s="1"/>
      <c r="T147" s="1"/>
      <c r="U147" s="1"/>
      <c r="V147" s="1"/>
      <c r="W147" s="1"/>
      <c r="X147" s="1"/>
      <c r="Y147" s="1"/>
    </row>
    <row r="148" spans="1:25">
      <c r="A148" s="1"/>
      <c r="B148" s="1"/>
      <c r="C148" s="1"/>
      <c r="D148" s="1"/>
      <c r="E148" s="1"/>
      <c r="F148" s="1"/>
      <c r="G148" s="1"/>
      <c r="H148" s="1"/>
      <c r="I148" s="1"/>
      <c r="J148" s="1"/>
      <c r="K148" s="1"/>
      <c r="L148" s="1"/>
      <c r="M148" s="1"/>
      <c r="N148" s="1"/>
      <c r="O148" s="1"/>
      <c r="P148" s="1"/>
      <c r="Q148" s="104"/>
      <c r="R148" s="104"/>
      <c r="S148" s="1"/>
      <c r="T148" s="1"/>
      <c r="U148" s="1"/>
      <c r="V148" s="1"/>
      <c r="W148" s="1"/>
      <c r="X148" s="1"/>
      <c r="Y148" s="1"/>
    </row>
    <row r="149" spans="1:25">
      <c r="A149" s="1"/>
      <c r="B149" s="1"/>
      <c r="C149" s="1"/>
      <c r="D149" s="1"/>
      <c r="E149" s="1"/>
      <c r="F149" s="1"/>
      <c r="G149" s="1"/>
      <c r="H149" s="1"/>
      <c r="I149" s="1"/>
      <c r="J149" s="1"/>
      <c r="K149" s="1"/>
      <c r="L149" s="1"/>
      <c r="M149" s="1"/>
      <c r="N149" s="1"/>
      <c r="O149" s="1"/>
      <c r="P149" s="1"/>
      <c r="Q149" s="104"/>
      <c r="R149" s="104"/>
      <c r="S149" s="1"/>
      <c r="T149" s="1"/>
      <c r="U149" s="1"/>
      <c r="V149" s="1"/>
      <c r="W149" s="1"/>
      <c r="X149" s="1"/>
      <c r="Y149" s="1"/>
    </row>
    <row r="150" spans="1:25">
      <c r="A150" s="1"/>
      <c r="B150" s="1"/>
      <c r="C150" s="1"/>
      <c r="D150" s="1"/>
      <c r="E150" s="1"/>
      <c r="F150" s="1"/>
      <c r="G150" s="1"/>
      <c r="H150" s="1"/>
      <c r="I150" s="1"/>
      <c r="J150" s="1"/>
      <c r="K150" s="1"/>
      <c r="L150" s="1"/>
      <c r="M150" s="1"/>
      <c r="N150" s="1"/>
      <c r="O150" s="1"/>
      <c r="P150" s="1"/>
      <c r="Q150" s="104"/>
      <c r="R150" s="104"/>
      <c r="S150" s="1"/>
      <c r="T150" s="1"/>
      <c r="U150" s="1"/>
      <c r="V150" s="1"/>
      <c r="W150" s="1"/>
      <c r="X150" s="1"/>
      <c r="Y150" s="1"/>
    </row>
    <row r="151" spans="1:25">
      <c r="A151" s="1"/>
      <c r="B151" s="1"/>
      <c r="C151" s="1"/>
      <c r="D151" s="1"/>
      <c r="E151" s="1"/>
      <c r="F151" s="1"/>
      <c r="G151" s="1"/>
      <c r="H151" s="1"/>
      <c r="I151" s="1"/>
      <c r="J151" s="1"/>
      <c r="K151" s="1"/>
      <c r="L151" s="1"/>
      <c r="M151" s="1"/>
      <c r="N151" s="1"/>
      <c r="O151" s="1"/>
      <c r="P151" s="1"/>
      <c r="Q151" s="104"/>
      <c r="R151" s="104"/>
      <c r="S151" s="1"/>
      <c r="T151" s="1"/>
      <c r="U151" s="1"/>
      <c r="V151" s="1"/>
      <c r="W151" s="1"/>
      <c r="X151" s="1"/>
      <c r="Y151" s="1"/>
    </row>
    <row r="152" spans="1:25">
      <c r="A152" s="1"/>
      <c r="B152" s="1"/>
      <c r="C152" s="1"/>
      <c r="D152" s="1"/>
      <c r="E152" s="1"/>
      <c r="F152" s="1"/>
      <c r="G152" s="1"/>
      <c r="H152" s="1"/>
      <c r="I152" s="1"/>
      <c r="J152" s="1"/>
      <c r="K152" s="1"/>
      <c r="L152" s="1"/>
      <c r="M152" s="1"/>
      <c r="N152" s="1"/>
      <c r="O152" s="1"/>
      <c r="P152" s="1"/>
      <c r="Q152" s="104"/>
      <c r="R152" s="104"/>
      <c r="S152" s="1"/>
      <c r="T152" s="1"/>
      <c r="U152" s="1"/>
      <c r="V152" s="1"/>
      <c r="W152" s="1"/>
      <c r="X152" s="1"/>
      <c r="Y152" s="1"/>
    </row>
    <row r="153" spans="1:25">
      <c r="A153" s="1"/>
      <c r="B153" s="1"/>
      <c r="C153" s="1"/>
      <c r="D153" s="1"/>
      <c r="E153" s="1"/>
      <c r="F153" s="1"/>
      <c r="G153" s="1"/>
      <c r="H153" s="1"/>
      <c r="I153" s="1"/>
      <c r="J153" s="1"/>
      <c r="K153" s="1"/>
      <c r="L153" s="1"/>
      <c r="M153" s="1"/>
      <c r="N153" s="1"/>
      <c r="O153" s="1"/>
      <c r="P153" s="1"/>
      <c r="Q153" s="104"/>
      <c r="R153" s="104"/>
      <c r="S153" s="1"/>
      <c r="T153" s="1"/>
      <c r="U153" s="1"/>
      <c r="V153" s="1"/>
      <c r="W153" s="1"/>
      <c r="X153" s="1"/>
      <c r="Y153" s="1"/>
    </row>
    <row r="154" spans="1:25">
      <c r="A154" s="1"/>
      <c r="B154" s="1"/>
      <c r="C154" s="1"/>
      <c r="D154" s="1"/>
      <c r="E154" s="1"/>
      <c r="F154" s="1"/>
      <c r="G154" s="1"/>
      <c r="H154" s="1"/>
      <c r="I154" s="1"/>
      <c r="J154" s="1"/>
      <c r="K154" s="1"/>
      <c r="L154" s="1"/>
      <c r="M154" s="1"/>
      <c r="N154" s="1"/>
      <c r="O154" s="1"/>
      <c r="P154" s="1"/>
      <c r="Q154" s="104"/>
      <c r="R154" s="104"/>
      <c r="S154" s="1"/>
      <c r="T154" s="1"/>
      <c r="U154" s="1"/>
      <c r="V154" s="1"/>
      <c r="W154" s="1"/>
      <c r="X154" s="1"/>
      <c r="Y154" s="1"/>
    </row>
    <row r="155" spans="1:25">
      <c r="A155" s="1"/>
      <c r="B155" s="1"/>
      <c r="C155" s="1"/>
      <c r="D155" s="1"/>
      <c r="E155" s="1"/>
      <c r="F155" s="1"/>
      <c r="G155" s="1"/>
      <c r="H155" s="1"/>
      <c r="I155" s="1"/>
      <c r="J155" s="1"/>
      <c r="K155" s="1"/>
      <c r="L155" s="1"/>
      <c r="M155" s="1"/>
      <c r="N155" s="1"/>
      <c r="O155" s="1"/>
      <c r="P155" s="1"/>
      <c r="Q155" s="104"/>
      <c r="R155" s="104"/>
      <c r="S155" s="1"/>
      <c r="T155" s="1"/>
      <c r="U155" s="1"/>
      <c r="V155" s="1"/>
      <c r="W155" s="1"/>
      <c r="X155" s="1"/>
      <c r="Y155" s="1"/>
    </row>
    <row r="156" spans="1:25">
      <c r="A156" s="1"/>
      <c r="B156" s="1"/>
      <c r="C156" s="1"/>
      <c r="D156" s="1"/>
      <c r="E156" s="1"/>
      <c r="F156" s="1"/>
      <c r="G156" s="1"/>
      <c r="H156" s="1"/>
      <c r="I156" s="1"/>
      <c r="J156" s="1"/>
      <c r="K156" s="1"/>
      <c r="L156" s="1"/>
      <c r="M156" s="1"/>
      <c r="N156" s="1"/>
      <c r="O156" s="1"/>
      <c r="P156" s="1"/>
      <c r="Q156" s="104"/>
      <c r="R156" s="104"/>
      <c r="S156" s="1"/>
      <c r="T156" s="1"/>
      <c r="U156" s="1"/>
      <c r="V156" s="1"/>
      <c r="W156" s="1"/>
      <c r="X156" s="1"/>
      <c r="Y156" s="1"/>
    </row>
    <row r="157" spans="1:25">
      <c r="A157" s="1"/>
      <c r="B157" s="1"/>
      <c r="C157" s="1"/>
      <c r="D157" s="1"/>
      <c r="E157" s="1"/>
      <c r="F157" s="1"/>
      <c r="G157" s="1"/>
      <c r="H157" s="1"/>
      <c r="I157" s="1"/>
      <c r="J157" s="1"/>
      <c r="K157" s="1"/>
      <c r="L157" s="1"/>
      <c r="M157" s="1"/>
      <c r="N157" s="1"/>
      <c r="O157" s="1"/>
      <c r="P157" s="1"/>
      <c r="Q157" s="104"/>
      <c r="R157" s="104"/>
      <c r="S157" s="1"/>
      <c r="T157" s="1"/>
      <c r="U157" s="1"/>
      <c r="V157" s="1"/>
      <c r="W157" s="1"/>
      <c r="X157" s="1"/>
      <c r="Y157" s="1"/>
    </row>
    <row r="158" spans="1:25">
      <c r="A158" s="1"/>
      <c r="B158" s="1"/>
      <c r="C158" s="1"/>
      <c r="D158" s="1"/>
      <c r="E158" s="1"/>
      <c r="F158" s="1"/>
      <c r="G158" s="1"/>
      <c r="H158" s="1"/>
      <c r="I158" s="1"/>
      <c r="J158" s="1"/>
      <c r="K158" s="1"/>
      <c r="L158" s="1"/>
      <c r="M158" s="1"/>
      <c r="N158" s="1"/>
      <c r="O158" s="1"/>
      <c r="P158" s="1"/>
      <c r="Q158" s="104"/>
      <c r="R158" s="104"/>
      <c r="S158" s="1"/>
      <c r="T158" s="1"/>
      <c r="U158" s="1"/>
      <c r="V158" s="1"/>
      <c r="W158" s="1"/>
      <c r="X158" s="1"/>
      <c r="Y158" s="1"/>
    </row>
    <row r="159" spans="1:25">
      <c r="A159" s="1"/>
      <c r="B159" s="1"/>
      <c r="C159" s="1"/>
      <c r="D159" s="1"/>
      <c r="E159" s="1"/>
      <c r="F159" s="1"/>
      <c r="G159" s="1"/>
      <c r="H159" s="1"/>
      <c r="I159" s="1"/>
      <c r="J159" s="1"/>
      <c r="K159" s="1"/>
      <c r="L159" s="1"/>
      <c r="M159" s="1"/>
      <c r="N159" s="1"/>
      <c r="O159" s="1"/>
      <c r="P159" s="1"/>
      <c r="Q159" s="104"/>
      <c r="R159" s="104"/>
      <c r="S159" s="1"/>
      <c r="T159" s="1"/>
      <c r="U159" s="1"/>
      <c r="V159" s="1"/>
      <c r="W159" s="1"/>
      <c r="X159" s="1"/>
      <c r="Y159" s="1"/>
    </row>
    <row r="160" spans="1:25">
      <c r="A160" s="1"/>
      <c r="B160" s="1"/>
      <c r="C160" s="1"/>
      <c r="D160" s="1"/>
      <c r="E160" s="1"/>
      <c r="F160" s="1"/>
      <c r="G160" s="1"/>
      <c r="H160" s="1"/>
      <c r="I160" s="1"/>
      <c r="J160" s="1"/>
      <c r="K160" s="1"/>
      <c r="L160" s="1"/>
      <c r="M160" s="1"/>
      <c r="N160" s="1"/>
      <c r="O160" s="1"/>
      <c r="P160" s="1"/>
      <c r="Q160" s="104"/>
      <c r="R160" s="104"/>
      <c r="S160" s="1"/>
      <c r="T160" s="1"/>
      <c r="U160" s="1"/>
      <c r="V160" s="1"/>
      <c r="W160" s="1"/>
      <c r="X160" s="1"/>
      <c r="Y160" s="1"/>
    </row>
    <row r="161" spans="1:25">
      <c r="A161" s="1"/>
      <c r="B161" s="1"/>
      <c r="C161" s="1"/>
      <c r="D161" s="1"/>
      <c r="E161" s="1"/>
      <c r="F161" s="1"/>
      <c r="G161" s="1"/>
      <c r="H161" s="1"/>
      <c r="I161" s="1"/>
      <c r="J161" s="1"/>
      <c r="K161" s="1"/>
      <c r="L161" s="1"/>
      <c r="M161" s="1"/>
      <c r="N161" s="1"/>
      <c r="O161" s="1"/>
      <c r="P161" s="1"/>
      <c r="Q161" s="104"/>
      <c r="R161" s="104"/>
      <c r="S161" s="1"/>
      <c r="T161" s="1"/>
      <c r="U161" s="1"/>
      <c r="V161" s="1"/>
      <c r="W161" s="1"/>
      <c r="X161" s="1"/>
      <c r="Y161" s="1"/>
    </row>
    <row r="162" spans="1:25">
      <c r="A162" s="1"/>
      <c r="B162" s="1"/>
      <c r="C162" s="1"/>
      <c r="D162" s="1"/>
      <c r="E162" s="1"/>
      <c r="F162" s="1"/>
      <c r="G162" s="1"/>
      <c r="H162" s="1"/>
      <c r="I162" s="1"/>
      <c r="J162" s="1"/>
      <c r="K162" s="1"/>
      <c r="L162" s="1"/>
      <c r="M162" s="1"/>
      <c r="N162" s="1"/>
      <c r="O162" s="1"/>
      <c r="P162" s="1"/>
      <c r="Q162" s="104"/>
      <c r="R162" s="104"/>
      <c r="S162" s="1"/>
      <c r="T162" s="1"/>
      <c r="U162" s="1"/>
      <c r="V162" s="1"/>
      <c r="W162" s="1"/>
      <c r="X162" s="1"/>
      <c r="Y162" s="1"/>
    </row>
    <row r="163" spans="1:25">
      <c r="A163" s="1"/>
      <c r="B163" s="1"/>
      <c r="C163" s="1"/>
      <c r="D163" s="1"/>
      <c r="E163" s="1"/>
      <c r="F163" s="1"/>
      <c r="G163" s="1"/>
      <c r="H163" s="1"/>
      <c r="I163" s="1"/>
      <c r="J163" s="1"/>
      <c r="K163" s="1"/>
      <c r="L163" s="1"/>
      <c r="M163" s="1"/>
      <c r="N163" s="1"/>
      <c r="O163" s="1"/>
      <c r="P163" s="1"/>
      <c r="Q163" s="104"/>
      <c r="R163" s="104"/>
      <c r="S163" s="1"/>
      <c r="T163" s="1"/>
      <c r="U163" s="1"/>
      <c r="V163" s="1"/>
      <c r="W163" s="1"/>
      <c r="X163" s="1"/>
      <c r="Y163" s="1"/>
    </row>
    <row r="164" spans="1:25">
      <c r="A164" s="1"/>
      <c r="B164" s="1"/>
      <c r="C164" s="1"/>
      <c r="D164" s="1"/>
      <c r="E164" s="1"/>
      <c r="F164" s="1"/>
      <c r="G164" s="1"/>
      <c r="H164" s="1"/>
      <c r="I164" s="1"/>
      <c r="J164" s="1"/>
      <c r="K164" s="1"/>
      <c r="L164" s="1"/>
      <c r="M164" s="1"/>
      <c r="N164" s="1"/>
      <c r="O164" s="1"/>
      <c r="P164" s="1"/>
      <c r="Q164" s="104"/>
      <c r="R164" s="104"/>
      <c r="S164" s="1"/>
      <c r="T164" s="1"/>
      <c r="U164" s="1"/>
      <c r="V164" s="1"/>
      <c r="W164" s="1"/>
      <c r="X164" s="1"/>
      <c r="Y164" s="1"/>
    </row>
    <row r="165" spans="1:25">
      <c r="A165" s="1"/>
      <c r="B165" s="1"/>
      <c r="C165" s="1"/>
      <c r="D165" s="1"/>
      <c r="E165" s="1"/>
      <c r="F165" s="1"/>
      <c r="G165" s="1"/>
      <c r="H165" s="1"/>
      <c r="I165" s="1"/>
      <c r="J165" s="1"/>
      <c r="K165" s="1"/>
      <c r="L165" s="1"/>
      <c r="M165" s="1"/>
      <c r="N165" s="1"/>
      <c r="O165" s="1"/>
      <c r="P165" s="1"/>
      <c r="Q165" s="104"/>
      <c r="R165" s="104"/>
      <c r="S165" s="1"/>
      <c r="T165" s="1"/>
      <c r="U165" s="1"/>
      <c r="V165" s="1"/>
      <c r="W165" s="1"/>
      <c r="X165" s="1"/>
      <c r="Y165" s="1"/>
    </row>
    <row r="166" spans="1:25">
      <c r="A166" s="1"/>
      <c r="B166" s="1"/>
      <c r="C166" s="1"/>
      <c r="D166" s="1"/>
      <c r="E166" s="1"/>
      <c r="F166" s="1"/>
      <c r="G166" s="1"/>
      <c r="H166" s="1"/>
      <c r="I166" s="1"/>
      <c r="J166" s="1"/>
      <c r="K166" s="1"/>
      <c r="L166" s="1"/>
      <c r="M166" s="1"/>
      <c r="N166" s="1"/>
      <c r="O166" s="1"/>
      <c r="P166" s="1"/>
      <c r="Q166" s="104"/>
      <c r="R166" s="104"/>
      <c r="S166" s="1"/>
      <c r="T166" s="1"/>
      <c r="U166" s="1"/>
      <c r="V166" s="1"/>
      <c r="W166" s="1"/>
      <c r="X166" s="1"/>
      <c r="Y166" s="1"/>
    </row>
    <row r="167" spans="1:25">
      <c r="A167" s="1"/>
      <c r="B167" s="1"/>
      <c r="C167" s="1"/>
      <c r="D167" s="1"/>
      <c r="E167" s="1"/>
      <c r="F167" s="1"/>
      <c r="G167" s="1"/>
      <c r="H167" s="1"/>
      <c r="I167" s="1"/>
      <c r="J167" s="1"/>
      <c r="K167" s="1"/>
      <c r="L167" s="1"/>
      <c r="M167" s="1"/>
      <c r="N167" s="1"/>
      <c r="O167" s="1"/>
      <c r="P167" s="1"/>
      <c r="Q167" s="104"/>
      <c r="R167" s="104"/>
      <c r="S167" s="1"/>
      <c r="T167" s="1"/>
      <c r="U167" s="1"/>
      <c r="V167" s="1"/>
      <c r="W167" s="1"/>
      <c r="X167" s="1"/>
      <c r="Y167" s="1"/>
    </row>
    <row r="168" spans="1:25">
      <c r="A168" s="1"/>
      <c r="B168" s="1"/>
      <c r="C168" s="1"/>
      <c r="D168" s="1"/>
      <c r="E168" s="1"/>
      <c r="F168" s="1"/>
      <c r="G168" s="1"/>
      <c r="H168" s="1"/>
      <c r="I168" s="1"/>
      <c r="J168" s="1"/>
      <c r="K168" s="1"/>
      <c r="L168" s="1"/>
      <c r="M168" s="1"/>
      <c r="N168" s="1"/>
      <c r="O168" s="1"/>
      <c r="P168" s="1"/>
      <c r="Q168" s="104"/>
      <c r="R168" s="104"/>
      <c r="S168" s="1"/>
      <c r="T168" s="1"/>
      <c r="U168" s="1"/>
      <c r="V168" s="1"/>
      <c r="W168" s="1"/>
      <c r="X168" s="1"/>
      <c r="Y168" s="1"/>
    </row>
    <row r="169" spans="1:25">
      <c r="A169" s="1"/>
      <c r="B169" s="1"/>
      <c r="C169" s="1"/>
      <c r="D169" s="1"/>
      <c r="E169" s="1"/>
      <c r="F169" s="1"/>
      <c r="G169" s="1"/>
      <c r="H169" s="1"/>
      <c r="I169" s="1"/>
      <c r="J169" s="1"/>
      <c r="K169" s="1"/>
      <c r="L169" s="1"/>
      <c r="M169" s="1"/>
      <c r="N169" s="1"/>
      <c r="O169" s="1"/>
      <c r="P169" s="1"/>
      <c r="Q169" s="104"/>
      <c r="R169" s="104"/>
      <c r="S169" s="1"/>
      <c r="T169" s="1"/>
      <c r="U169" s="1"/>
      <c r="V169" s="1"/>
      <c r="W169" s="1"/>
      <c r="X169" s="1"/>
      <c r="Y169" s="1"/>
    </row>
    <row r="170" spans="1:25">
      <c r="A170" s="1"/>
      <c r="B170" s="1"/>
      <c r="C170" s="1"/>
      <c r="D170" s="1"/>
      <c r="E170" s="1"/>
      <c r="F170" s="1"/>
      <c r="G170" s="1"/>
      <c r="H170" s="1"/>
      <c r="I170" s="1"/>
      <c r="J170" s="1"/>
      <c r="K170" s="1"/>
      <c r="L170" s="1"/>
      <c r="M170" s="1"/>
      <c r="N170" s="1"/>
      <c r="O170" s="1"/>
      <c r="P170" s="1"/>
      <c r="Q170" s="104"/>
      <c r="R170" s="104"/>
      <c r="S170" s="1"/>
      <c r="T170" s="1"/>
      <c r="U170" s="1"/>
      <c r="V170" s="1"/>
      <c r="W170" s="1"/>
      <c r="X170" s="1"/>
      <c r="Y170" s="1"/>
    </row>
    <row r="171" spans="1:25">
      <c r="A171" s="1"/>
      <c r="B171" s="1"/>
      <c r="C171" s="1"/>
      <c r="D171" s="1"/>
      <c r="E171" s="1"/>
      <c r="F171" s="1"/>
      <c r="G171" s="1"/>
      <c r="H171" s="1"/>
      <c r="I171" s="1"/>
      <c r="J171" s="1"/>
      <c r="K171" s="1"/>
      <c r="L171" s="1"/>
      <c r="M171" s="1"/>
      <c r="N171" s="1"/>
      <c r="O171" s="1"/>
      <c r="P171" s="1"/>
      <c r="Q171" s="104"/>
      <c r="R171" s="104"/>
      <c r="S171" s="1"/>
      <c r="T171" s="1"/>
      <c r="U171" s="1"/>
      <c r="V171" s="1"/>
      <c r="W171" s="1"/>
      <c r="X171" s="1"/>
      <c r="Y171" s="1"/>
    </row>
    <row r="172" spans="1:25">
      <c r="A172" s="1"/>
      <c r="B172" s="1"/>
      <c r="C172" s="1"/>
      <c r="D172" s="1"/>
      <c r="E172" s="1"/>
      <c r="F172" s="1"/>
      <c r="G172" s="1"/>
      <c r="H172" s="1"/>
      <c r="I172" s="1"/>
      <c r="J172" s="1"/>
      <c r="K172" s="1"/>
      <c r="L172" s="1"/>
      <c r="M172" s="1"/>
      <c r="N172" s="1"/>
      <c r="O172" s="1"/>
      <c r="P172" s="1"/>
      <c r="Q172" s="104"/>
      <c r="R172" s="104"/>
      <c r="S172" s="1"/>
      <c r="T172" s="1"/>
      <c r="U172" s="1"/>
      <c r="V172" s="1"/>
      <c r="W172" s="1"/>
      <c r="X172" s="1"/>
      <c r="Y172" s="1"/>
    </row>
    <row r="173" spans="1:25">
      <c r="A173" s="1"/>
      <c r="B173" s="1"/>
      <c r="C173" s="1"/>
      <c r="D173" s="1"/>
      <c r="E173" s="1"/>
      <c r="F173" s="1"/>
      <c r="G173" s="1"/>
      <c r="H173" s="1"/>
      <c r="I173" s="1"/>
      <c r="J173" s="1"/>
      <c r="K173" s="1"/>
      <c r="L173" s="1"/>
      <c r="M173" s="1"/>
      <c r="N173" s="1"/>
      <c r="O173" s="1"/>
      <c r="P173" s="1"/>
      <c r="Q173" s="104"/>
      <c r="R173" s="104"/>
      <c r="S173" s="1"/>
      <c r="T173" s="1"/>
      <c r="U173" s="1"/>
      <c r="V173" s="1"/>
      <c r="W173" s="1"/>
      <c r="X173" s="1"/>
      <c r="Y173" s="1"/>
    </row>
    <row r="174" spans="1:25">
      <c r="A174" s="1"/>
      <c r="B174" s="1"/>
      <c r="C174" s="1"/>
      <c r="D174" s="1"/>
      <c r="E174" s="1"/>
      <c r="F174" s="1"/>
      <c r="G174" s="1"/>
      <c r="H174" s="1"/>
      <c r="I174" s="1"/>
      <c r="J174" s="1"/>
      <c r="K174" s="1"/>
      <c r="L174" s="1"/>
      <c r="M174" s="1"/>
      <c r="N174" s="1"/>
      <c r="O174" s="1"/>
      <c r="P174" s="1"/>
      <c r="Q174" s="104"/>
      <c r="R174" s="104"/>
      <c r="S174" s="1"/>
      <c r="T174" s="1"/>
      <c r="U174" s="1"/>
      <c r="V174" s="1"/>
      <c r="W174" s="1"/>
      <c r="X174" s="1"/>
      <c r="Y174" s="1"/>
    </row>
    <row r="175" spans="1:25">
      <c r="A175" s="1"/>
      <c r="B175" s="1"/>
      <c r="C175" s="1"/>
      <c r="D175" s="1"/>
      <c r="E175" s="1"/>
      <c r="F175" s="1"/>
      <c r="G175" s="1"/>
      <c r="H175" s="1"/>
      <c r="I175" s="1"/>
      <c r="J175" s="1"/>
      <c r="K175" s="1"/>
      <c r="L175" s="1"/>
      <c r="M175" s="1"/>
      <c r="N175" s="1"/>
      <c r="O175" s="1"/>
      <c r="P175" s="1"/>
      <c r="Q175" s="104"/>
      <c r="R175" s="104"/>
      <c r="S175" s="1"/>
      <c r="T175" s="1"/>
      <c r="U175" s="1"/>
      <c r="V175" s="1"/>
      <c r="W175" s="1"/>
      <c r="X175" s="1"/>
      <c r="Y175" s="1"/>
    </row>
    <row r="176" spans="1:25">
      <c r="A176" s="1"/>
      <c r="B176" s="1"/>
      <c r="C176" s="1"/>
      <c r="D176" s="1"/>
      <c r="E176" s="1"/>
      <c r="F176" s="1"/>
      <c r="G176" s="1"/>
      <c r="H176" s="1"/>
      <c r="I176" s="1"/>
      <c r="J176" s="1"/>
      <c r="K176" s="1"/>
      <c r="L176" s="1"/>
      <c r="M176" s="1"/>
      <c r="N176" s="1"/>
      <c r="O176" s="1"/>
      <c r="P176" s="1"/>
      <c r="Q176" s="104"/>
      <c r="R176" s="104"/>
      <c r="S176" s="1"/>
      <c r="T176" s="1"/>
      <c r="U176" s="1"/>
      <c r="V176" s="1"/>
      <c r="W176" s="1"/>
      <c r="X176" s="1"/>
      <c r="Y176" s="1"/>
    </row>
    <row r="177" spans="1:25">
      <c r="A177" s="1"/>
      <c r="B177" s="1"/>
      <c r="C177" s="1"/>
      <c r="D177" s="1"/>
      <c r="E177" s="1"/>
      <c r="F177" s="1"/>
      <c r="G177" s="1"/>
      <c r="H177" s="1"/>
      <c r="I177" s="1"/>
      <c r="J177" s="1"/>
      <c r="K177" s="1"/>
      <c r="L177" s="1"/>
      <c r="M177" s="1"/>
      <c r="N177" s="1"/>
      <c r="O177" s="1"/>
      <c r="P177" s="1"/>
      <c r="Q177" s="104"/>
      <c r="R177" s="104"/>
      <c r="S177" s="1"/>
      <c r="T177" s="1"/>
      <c r="U177" s="1"/>
      <c r="V177" s="1"/>
      <c r="W177" s="1"/>
      <c r="X177" s="1"/>
      <c r="Y177" s="1"/>
    </row>
    <row r="178" spans="1:25">
      <c r="A178" s="1"/>
      <c r="B178" s="1"/>
      <c r="C178" s="1"/>
      <c r="D178" s="1"/>
      <c r="E178" s="1"/>
      <c r="F178" s="1"/>
      <c r="G178" s="1"/>
      <c r="H178" s="1"/>
      <c r="I178" s="1"/>
      <c r="J178" s="1"/>
      <c r="K178" s="1"/>
      <c r="L178" s="1"/>
      <c r="M178" s="1"/>
      <c r="N178" s="1"/>
      <c r="O178" s="1"/>
      <c r="P178" s="1"/>
      <c r="Q178" s="104"/>
      <c r="R178" s="104"/>
      <c r="S178" s="1"/>
      <c r="T178" s="1"/>
      <c r="U178" s="1"/>
      <c r="V178" s="1"/>
      <c r="W178" s="1"/>
      <c r="X178" s="1"/>
      <c r="Y178" s="1"/>
    </row>
    <row r="179" spans="1:25">
      <c r="A179" s="1"/>
      <c r="B179" s="1"/>
      <c r="C179" s="1"/>
      <c r="D179" s="1"/>
      <c r="E179" s="1"/>
      <c r="F179" s="1"/>
      <c r="G179" s="1"/>
      <c r="H179" s="1"/>
      <c r="I179" s="1"/>
      <c r="J179" s="1"/>
      <c r="K179" s="1"/>
      <c r="L179" s="1"/>
      <c r="M179" s="1"/>
      <c r="N179" s="1"/>
      <c r="O179" s="1"/>
      <c r="P179" s="1"/>
      <c r="Q179" s="104"/>
      <c r="R179" s="104"/>
      <c r="S179" s="1"/>
      <c r="T179" s="1"/>
      <c r="U179" s="1"/>
      <c r="V179" s="1"/>
      <c r="W179" s="1"/>
      <c r="X179" s="1"/>
      <c r="Y179" s="1"/>
    </row>
    <row r="180" spans="1:25">
      <c r="A180" s="1"/>
      <c r="B180" s="1"/>
      <c r="C180" s="1"/>
      <c r="D180" s="1"/>
      <c r="E180" s="1"/>
      <c r="F180" s="1"/>
      <c r="G180" s="1"/>
      <c r="H180" s="1"/>
      <c r="I180" s="1"/>
      <c r="J180" s="1"/>
      <c r="K180" s="1"/>
      <c r="L180" s="1"/>
      <c r="M180" s="1"/>
      <c r="N180" s="1"/>
      <c r="O180" s="1"/>
      <c r="P180" s="1"/>
      <c r="Q180" s="104"/>
      <c r="R180" s="104"/>
      <c r="S180" s="1"/>
      <c r="T180" s="1"/>
      <c r="U180" s="1"/>
      <c r="V180" s="1"/>
      <c r="W180" s="1"/>
      <c r="X180" s="1"/>
      <c r="Y180" s="1"/>
    </row>
    <row r="181" spans="1:25">
      <c r="A181" s="1"/>
      <c r="B181" s="1"/>
      <c r="C181" s="1"/>
      <c r="D181" s="1"/>
      <c r="E181" s="1"/>
      <c r="F181" s="1"/>
      <c r="G181" s="1"/>
      <c r="H181" s="1"/>
      <c r="I181" s="1"/>
      <c r="J181" s="1"/>
      <c r="K181" s="1"/>
      <c r="L181" s="1"/>
      <c r="M181" s="1"/>
      <c r="N181" s="1"/>
      <c r="O181" s="1"/>
      <c r="P181" s="1"/>
      <c r="Q181" s="104"/>
      <c r="R181" s="104"/>
      <c r="S181" s="1"/>
      <c r="T181" s="1"/>
      <c r="U181" s="1"/>
      <c r="V181" s="1"/>
      <c r="W181" s="1"/>
      <c r="X181" s="1"/>
      <c r="Y181" s="1"/>
    </row>
    <row r="182" spans="1:25">
      <c r="A182" s="1"/>
      <c r="B182" s="1"/>
      <c r="C182" s="1"/>
      <c r="D182" s="1"/>
      <c r="E182" s="1"/>
      <c r="F182" s="1"/>
      <c r="G182" s="1"/>
      <c r="H182" s="1"/>
      <c r="I182" s="1"/>
      <c r="J182" s="1"/>
      <c r="K182" s="1"/>
      <c r="L182" s="1"/>
      <c r="M182" s="1"/>
      <c r="N182" s="1"/>
      <c r="O182" s="1"/>
      <c r="P182" s="1"/>
      <c r="Q182" s="104"/>
      <c r="R182" s="104"/>
      <c r="S182" s="1"/>
      <c r="T182" s="1"/>
      <c r="U182" s="1"/>
      <c r="V182" s="1"/>
      <c r="W182" s="1"/>
      <c r="X182" s="1"/>
      <c r="Y182" s="1"/>
    </row>
    <row r="183" spans="1:25">
      <c r="A183" s="1"/>
      <c r="B183" s="1"/>
      <c r="C183" s="1"/>
      <c r="D183" s="1"/>
      <c r="E183" s="1"/>
      <c r="F183" s="1"/>
      <c r="G183" s="1"/>
      <c r="H183" s="1"/>
      <c r="I183" s="1"/>
      <c r="J183" s="1"/>
      <c r="K183" s="1"/>
      <c r="L183" s="1"/>
      <c r="M183" s="1"/>
      <c r="N183" s="1"/>
      <c r="O183" s="1"/>
      <c r="P183" s="1"/>
      <c r="Q183" s="104"/>
      <c r="R183" s="104"/>
      <c r="S183" s="1"/>
      <c r="T183" s="1"/>
      <c r="U183" s="1"/>
      <c r="V183" s="1"/>
      <c r="W183" s="1"/>
      <c r="X183" s="1"/>
      <c r="Y183" s="1"/>
    </row>
    <row r="184" spans="1:25">
      <c r="A184" s="1"/>
      <c r="B184" s="1"/>
      <c r="C184" s="1"/>
      <c r="D184" s="1"/>
      <c r="E184" s="1"/>
      <c r="F184" s="1"/>
      <c r="G184" s="1"/>
      <c r="H184" s="1"/>
      <c r="I184" s="1"/>
      <c r="J184" s="1"/>
      <c r="K184" s="1"/>
      <c r="L184" s="1"/>
      <c r="M184" s="1"/>
      <c r="N184" s="1"/>
      <c r="O184" s="1"/>
      <c r="P184" s="1"/>
      <c r="Q184" s="104"/>
      <c r="R184" s="104"/>
      <c r="S184" s="1"/>
      <c r="T184" s="1"/>
      <c r="U184" s="1"/>
      <c r="V184" s="1"/>
      <c r="W184" s="1"/>
      <c r="X184" s="1"/>
      <c r="Y184" s="1"/>
    </row>
    <row r="185" spans="1:25">
      <c r="A185" s="1"/>
      <c r="B185" s="1"/>
      <c r="C185" s="1"/>
      <c r="D185" s="1"/>
      <c r="E185" s="1"/>
      <c r="F185" s="1"/>
      <c r="G185" s="1"/>
      <c r="H185" s="1"/>
      <c r="I185" s="1"/>
      <c r="J185" s="1"/>
      <c r="K185" s="1"/>
      <c r="L185" s="1"/>
      <c r="M185" s="1"/>
      <c r="N185" s="1"/>
      <c r="O185" s="1"/>
      <c r="P185" s="1"/>
      <c r="Q185" s="104"/>
      <c r="R185" s="104"/>
      <c r="S185" s="1"/>
      <c r="T185" s="1"/>
      <c r="U185" s="1"/>
      <c r="V185" s="1"/>
      <c r="W185" s="1"/>
      <c r="X185" s="1"/>
      <c r="Y185" s="1"/>
    </row>
    <row r="186" spans="1:25">
      <c r="A186" s="1"/>
      <c r="B186" s="1"/>
      <c r="C186" s="1"/>
      <c r="D186" s="1"/>
      <c r="E186" s="1"/>
      <c r="F186" s="1"/>
      <c r="G186" s="1"/>
      <c r="H186" s="1"/>
      <c r="I186" s="1"/>
      <c r="J186" s="1"/>
      <c r="K186" s="1"/>
      <c r="L186" s="1"/>
      <c r="M186" s="1"/>
      <c r="N186" s="1"/>
      <c r="O186" s="1"/>
      <c r="P186" s="1"/>
      <c r="Q186" s="104"/>
      <c r="R186" s="104"/>
      <c r="S186" s="1"/>
      <c r="T186" s="1"/>
      <c r="U186" s="1"/>
      <c r="V186" s="1"/>
      <c r="W186" s="1"/>
      <c r="X186" s="1"/>
      <c r="Y186" s="1"/>
    </row>
    <row r="187" spans="1:25">
      <c r="A187" s="1"/>
      <c r="B187" s="1"/>
      <c r="C187" s="1"/>
      <c r="D187" s="1"/>
      <c r="E187" s="1"/>
      <c r="F187" s="1"/>
      <c r="G187" s="1"/>
      <c r="H187" s="1"/>
      <c r="I187" s="1"/>
      <c r="J187" s="1"/>
      <c r="K187" s="1"/>
      <c r="L187" s="1"/>
      <c r="M187" s="1"/>
      <c r="N187" s="1"/>
      <c r="O187" s="1"/>
      <c r="P187" s="1"/>
      <c r="Q187" s="104"/>
      <c r="R187" s="104"/>
      <c r="S187" s="1"/>
      <c r="T187" s="1"/>
      <c r="U187" s="1"/>
      <c r="V187" s="1"/>
      <c r="W187" s="1"/>
      <c r="X187" s="1"/>
      <c r="Y187" s="1"/>
    </row>
    <row r="188" spans="1:25">
      <c r="A188" s="1"/>
      <c r="B188" s="1"/>
      <c r="C188" s="1"/>
      <c r="D188" s="1"/>
      <c r="E188" s="1"/>
      <c r="F188" s="1"/>
      <c r="G188" s="1"/>
      <c r="H188" s="1"/>
      <c r="I188" s="1"/>
      <c r="J188" s="1"/>
      <c r="K188" s="1"/>
      <c r="L188" s="1"/>
      <c r="M188" s="1"/>
      <c r="N188" s="1"/>
      <c r="O188" s="1"/>
      <c r="P188" s="1"/>
      <c r="Q188" s="104"/>
      <c r="R188" s="104"/>
      <c r="S188" s="1"/>
      <c r="T188" s="1"/>
      <c r="U188" s="1"/>
      <c r="V188" s="1"/>
      <c r="W188" s="1"/>
      <c r="X188" s="1"/>
      <c r="Y188" s="1"/>
    </row>
    <row r="189" spans="1:25">
      <c r="A189" s="1"/>
      <c r="B189" s="1"/>
      <c r="C189" s="1"/>
      <c r="D189" s="1"/>
      <c r="E189" s="1"/>
      <c r="F189" s="1"/>
      <c r="G189" s="1"/>
      <c r="H189" s="1"/>
      <c r="I189" s="1"/>
      <c r="J189" s="1"/>
      <c r="K189" s="1"/>
      <c r="L189" s="1"/>
      <c r="M189" s="1"/>
      <c r="N189" s="1"/>
      <c r="O189" s="1"/>
      <c r="P189" s="1"/>
      <c r="Q189" s="104"/>
      <c r="R189" s="104"/>
      <c r="S189" s="1"/>
      <c r="T189" s="1"/>
      <c r="U189" s="1"/>
      <c r="V189" s="1"/>
      <c r="W189" s="1"/>
      <c r="X189" s="1"/>
      <c r="Y189" s="1"/>
    </row>
    <row r="190" spans="1:25">
      <c r="A190" s="1"/>
      <c r="B190" s="1"/>
      <c r="C190" s="1"/>
      <c r="D190" s="1"/>
      <c r="E190" s="1"/>
      <c r="F190" s="1"/>
      <c r="G190" s="1"/>
      <c r="H190" s="1"/>
      <c r="I190" s="1"/>
      <c r="J190" s="1"/>
      <c r="K190" s="1"/>
      <c r="L190" s="1"/>
      <c r="M190" s="1"/>
      <c r="N190" s="1"/>
      <c r="O190" s="1"/>
      <c r="P190" s="1"/>
      <c r="Q190" s="104"/>
      <c r="R190" s="104"/>
      <c r="S190" s="1"/>
      <c r="T190" s="1"/>
      <c r="U190" s="1"/>
      <c r="V190" s="1"/>
      <c r="W190" s="1"/>
      <c r="X190" s="1"/>
      <c r="Y190" s="1"/>
    </row>
    <row r="191" spans="1:25">
      <c r="A191" s="1"/>
      <c r="B191" s="1"/>
      <c r="C191" s="1"/>
      <c r="D191" s="1"/>
      <c r="E191" s="1"/>
      <c r="F191" s="1"/>
      <c r="G191" s="1"/>
      <c r="H191" s="1"/>
      <c r="I191" s="1"/>
      <c r="J191" s="1"/>
      <c r="K191" s="1"/>
      <c r="L191" s="1"/>
      <c r="M191" s="1"/>
      <c r="N191" s="1"/>
      <c r="O191" s="1"/>
      <c r="P191" s="1"/>
      <c r="Q191" s="104"/>
      <c r="R191" s="104"/>
      <c r="S191" s="1"/>
      <c r="T191" s="1"/>
      <c r="U191" s="1"/>
      <c r="V191" s="1"/>
      <c r="W191" s="1"/>
      <c r="X191" s="1"/>
      <c r="Y191" s="1"/>
    </row>
    <row r="192" spans="1:25">
      <c r="A192" s="1"/>
      <c r="B192" s="1"/>
      <c r="C192" s="1"/>
      <c r="D192" s="1"/>
      <c r="E192" s="1"/>
      <c r="F192" s="1"/>
      <c r="G192" s="1"/>
      <c r="H192" s="1"/>
      <c r="I192" s="1"/>
      <c r="J192" s="1"/>
      <c r="K192" s="1"/>
      <c r="L192" s="1"/>
      <c r="M192" s="1"/>
      <c r="N192" s="1"/>
      <c r="O192" s="1"/>
      <c r="P192" s="1"/>
      <c r="Q192" s="104"/>
      <c r="R192" s="104"/>
      <c r="S192" s="1"/>
      <c r="T192" s="1"/>
      <c r="U192" s="1"/>
      <c r="V192" s="1"/>
      <c r="W192" s="1"/>
      <c r="X192" s="1"/>
      <c r="Y192" s="1"/>
    </row>
    <row r="193" spans="1:25">
      <c r="A193" s="1"/>
      <c r="B193" s="1"/>
      <c r="C193" s="1"/>
      <c r="D193" s="1"/>
      <c r="E193" s="1"/>
      <c r="F193" s="1"/>
      <c r="G193" s="1"/>
      <c r="H193" s="1"/>
      <c r="I193" s="1"/>
      <c r="J193" s="1"/>
      <c r="K193" s="1"/>
      <c r="L193" s="1"/>
      <c r="M193" s="1"/>
      <c r="N193" s="1"/>
      <c r="O193" s="1"/>
      <c r="P193" s="1"/>
      <c r="Q193" s="104"/>
      <c r="R193" s="104"/>
      <c r="S193" s="1"/>
      <c r="T193" s="1"/>
      <c r="U193" s="1"/>
      <c r="V193" s="1"/>
      <c r="W193" s="1"/>
      <c r="X193" s="1"/>
      <c r="Y193" s="1"/>
    </row>
    <row r="194" spans="1:25">
      <c r="A194" s="1"/>
      <c r="B194" s="1"/>
      <c r="C194" s="1"/>
      <c r="D194" s="1"/>
      <c r="E194" s="1"/>
      <c r="F194" s="1"/>
      <c r="G194" s="1"/>
      <c r="H194" s="1"/>
      <c r="I194" s="1"/>
      <c r="J194" s="1"/>
      <c r="K194" s="1"/>
      <c r="L194" s="1"/>
      <c r="M194" s="1"/>
      <c r="N194" s="1"/>
      <c r="O194" s="1"/>
      <c r="P194" s="1"/>
      <c r="Q194" s="104"/>
      <c r="R194" s="104"/>
      <c r="S194" s="1"/>
      <c r="T194" s="1"/>
      <c r="U194" s="1"/>
      <c r="V194" s="1"/>
      <c r="W194" s="1"/>
      <c r="X194" s="1"/>
      <c r="Y194" s="1"/>
    </row>
    <row r="195" spans="1:25">
      <c r="A195" s="1"/>
      <c r="B195" s="1"/>
      <c r="C195" s="1"/>
      <c r="D195" s="1"/>
      <c r="E195" s="1"/>
      <c r="F195" s="1"/>
      <c r="G195" s="1"/>
      <c r="H195" s="1"/>
      <c r="I195" s="1"/>
      <c r="J195" s="1"/>
      <c r="K195" s="1"/>
      <c r="L195" s="1"/>
      <c r="M195" s="1"/>
      <c r="N195" s="1"/>
      <c r="O195" s="1"/>
      <c r="P195" s="1"/>
      <c r="Q195" s="104"/>
      <c r="R195" s="104"/>
      <c r="S195" s="1"/>
      <c r="T195" s="1"/>
      <c r="U195" s="1"/>
      <c r="V195" s="1"/>
      <c r="W195" s="1"/>
      <c r="X195" s="1"/>
      <c r="Y195" s="1"/>
    </row>
    <row r="196" spans="1:25">
      <c r="A196" s="1"/>
      <c r="B196" s="1"/>
      <c r="C196" s="1"/>
      <c r="D196" s="1"/>
      <c r="E196" s="1"/>
      <c r="F196" s="1"/>
      <c r="G196" s="1"/>
      <c r="H196" s="1"/>
      <c r="I196" s="1"/>
      <c r="J196" s="1"/>
      <c r="K196" s="1"/>
      <c r="L196" s="1"/>
      <c r="M196" s="1"/>
      <c r="N196" s="1"/>
      <c r="O196" s="1"/>
      <c r="P196" s="1"/>
      <c r="Q196" s="104"/>
      <c r="R196" s="104"/>
      <c r="S196" s="1"/>
      <c r="T196" s="1"/>
      <c r="U196" s="1"/>
      <c r="V196" s="1"/>
      <c r="W196" s="1"/>
      <c r="X196" s="1"/>
      <c r="Y196" s="1"/>
    </row>
    <row r="197" spans="1:25">
      <c r="A197" s="1"/>
      <c r="B197" s="1"/>
      <c r="C197" s="1"/>
      <c r="D197" s="1"/>
      <c r="E197" s="1"/>
      <c r="F197" s="1"/>
      <c r="G197" s="1"/>
      <c r="H197" s="1"/>
      <c r="I197" s="1"/>
      <c r="J197" s="1"/>
      <c r="K197" s="1"/>
      <c r="L197" s="1"/>
      <c r="M197" s="1"/>
      <c r="N197" s="1"/>
      <c r="O197" s="1"/>
      <c r="P197" s="1"/>
      <c r="Q197" s="104"/>
      <c r="R197" s="104"/>
      <c r="S197" s="1"/>
      <c r="T197" s="1"/>
      <c r="U197" s="1"/>
      <c r="V197" s="1"/>
      <c r="W197" s="1"/>
      <c r="X197" s="1"/>
      <c r="Y197" s="1"/>
    </row>
    <row r="198" spans="1:25">
      <c r="A198" s="1"/>
      <c r="B198" s="1"/>
      <c r="C198" s="1"/>
      <c r="D198" s="1"/>
      <c r="E198" s="1"/>
      <c r="F198" s="1"/>
      <c r="G198" s="1"/>
      <c r="H198" s="1"/>
      <c r="I198" s="1"/>
      <c r="J198" s="1"/>
      <c r="K198" s="1"/>
      <c r="L198" s="1"/>
      <c r="M198" s="1"/>
      <c r="N198" s="1"/>
      <c r="O198" s="1"/>
      <c r="P198" s="1"/>
      <c r="Q198" s="104"/>
      <c r="R198" s="104"/>
      <c r="S198" s="1"/>
      <c r="T198" s="1"/>
      <c r="U198" s="1"/>
      <c r="V198" s="1"/>
      <c r="W198" s="1"/>
      <c r="X198" s="1"/>
      <c r="Y198" s="1"/>
    </row>
    <row r="199" spans="1:25">
      <c r="A199" s="1"/>
      <c r="B199" s="1"/>
      <c r="C199" s="1"/>
      <c r="D199" s="1"/>
      <c r="E199" s="1"/>
      <c r="F199" s="1"/>
      <c r="G199" s="1"/>
      <c r="H199" s="1"/>
      <c r="I199" s="1"/>
      <c r="J199" s="1"/>
      <c r="K199" s="1"/>
      <c r="L199" s="1"/>
      <c r="M199" s="1"/>
      <c r="N199" s="1"/>
      <c r="O199" s="1"/>
      <c r="P199" s="1"/>
      <c r="Q199" s="104"/>
      <c r="R199" s="104"/>
      <c r="S199" s="1"/>
      <c r="T199" s="1"/>
      <c r="U199" s="1"/>
      <c r="V199" s="1"/>
      <c r="W199" s="1"/>
      <c r="X199" s="1"/>
      <c r="Y199" s="1"/>
    </row>
    <row r="200" spans="1:25">
      <c r="A200" s="1"/>
      <c r="B200" s="1"/>
      <c r="C200" s="1"/>
      <c r="D200" s="1"/>
      <c r="E200" s="1"/>
      <c r="F200" s="1"/>
      <c r="G200" s="1"/>
      <c r="H200" s="1"/>
      <c r="I200" s="1"/>
      <c r="J200" s="1"/>
      <c r="K200" s="1"/>
      <c r="L200" s="1"/>
      <c r="M200" s="1"/>
      <c r="N200" s="1"/>
      <c r="O200" s="1"/>
      <c r="P200" s="1"/>
      <c r="Q200" s="104"/>
      <c r="R200" s="104"/>
      <c r="S200" s="1"/>
      <c r="T200" s="1"/>
      <c r="U200" s="1"/>
      <c r="V200" s="1"/>
      <c r="W200" s="1"/>
      <c r="X200" s="1"/>
      <c r="Y200" s="1"/>
    </row>
    <row r="201" spans="1:25">
      <c r="A201" s="1"/>
      <c r="B201" s="1"/>
      <c r="C201" s="1"/>
      <c r="D201" s="1"/>
      <c r="E201" s="1"/>
      <c r="F201" s="1"/>
      <c r="G201" s="1"/>
      <c r="H201" s="1"/>
      <c r="I201" s="1"/>
      <c r="J201" s="1"/>
      <c r="K201" s="1"/>
      <c r="L201" s="1"/>
      <c r="M201" s="1"/>
      <c r="N201" s="1"/>
      <c r="O201" s="1"/>
      <c r="P201" s="1"/>
      <c r="Q201" s="104"/>
      <c r="R201" s="104"/>
      <c r="S201" s="1"/>
      <c r="T201" s="1"/>
      <c r="U201" s="1"/>
      <c r="V201" s="1"/>
      <c r="W201" s="1"/>
      <c r="X201" s="1"/>
      <c r="Y201" s="1"/>
    </row>
    <row r="202" spans="1:25">
      <c r="A202" s="1"/>
      <c r="B202" s="1"/>
      <c r="C202" s="1"/>
      <c r="D202" s="1"/>
      <c r="E202" s="1"/>
      <c r="F202" s="1"/>
      <c r="G202" s="1"/>
      <c r="H202" s="1"/>
      <c r="I202" s="1"/>
      <c r="J202" s="1"/>
      <c r="K202" s="1"/>
      <c r="L202" s="1"/>
      <c r="M202" s="1"/>
      <c r="N202" s="1"/>
      <c r="O202" s="1"/>
      <c r="P202" s="1"/>
      <c r="Q202" s="104"/>
      <c r="R202" s="104"/>
      <c r="S202" s="1"/>
      <c r="T202" s="1"/>
      <c r="U202" s="1"/>
      <c r="V202" s="1"/>
      <c r="W202" s="1"/>
      <c r="X202" s="1"/>
      <c r="Y202" s="1"/>
    </row>
    <row r="203" spans="1:25">
      <c r="A203" s="1"/>
      <c r="B203" s="1"/>
      <c r="C203" s="1"/>
      <c r="D203" s="1"/>
      <c r="E203" s="1"/>
      <c r="F203" s="1"/>
      <c r="G203" s="1"/>
      <c r="H203" s="1"/>
      <c r="I203" s="1"/>
      <c r="J203" s="1"/>
      <c r="K203" s="1"/>
      <c r="L203" s="1"/>
      <c r="M203" s="1"/>
      <c r="N203" s="1"/>
      <c r="O203" s="1"/>
      <c r="P203" s="1"/>
      <c r="Q203" s="104"/>
      <c r="R203" s="104"/>
      <c r="S203" s="1"/>
      <c r="T203" s="1"/>
      <c r="U203" s="1"/>
      <c r="V203" s="1"/>
      <c r="W203" s="1"/>
      <c r="X203" s="1"/>
      <c r="Y203" s="1"/>
    </row>
    <row r="204" spans="1:25">
      <c r="A204" s="1"/>
      <c r="B204" s="1"/>
      <c r="C204" s="1"/>
      <c r="D204" s="1"/>
      <c r="E204" s="1"/>
      <c r="F204" s="1"/>
      <c r="G204" s="1"/>
      <c r="H204" s="1"/>
      <c r="I204" s="1"/>
      <c r="J204" s="1"/>
      <c r="K204" s="1"/>
      <c r="L204" s="1"/>
      <c r="M204" s="1"/>
      <c r="N204" s="1"/>
      <c r="O204" s="1"/>
      <c r="P204" s="1"/>
      <c r="Q204" s="104"/>
      <c r="R204" s="104"/>
      <c r="S204" s="1"/>
      <c r="T204" s="1"/>
      <c r="U204" s="1"/>
      <c r="V204" s="1"/>
      <c r="W204" s="1"/>
      <c r="X204" s="1"/>
      <c r="Y204" s="1"/>
    </row>
    <row r="205" spans="1:25">
      <c r="A205" s="1"/>
      <c r="B205" s="1"/>
      <c r="C205" s="1"/>
      <c r="D205" s="1"/>
      <c r="E205" s="1"/>
      <c r="F205" s="1"/>
      <c r="G205" s="1"/>
      <c r="H205" s="1"/>
      <c r="I205" s="1"/>
      <c r="J205" s="1"/>
      <c r="K205" s="1"/>
      <c r="L205" s="1"/>
      <c r="M205" s="1"/>
      <c r="N205" s="1"/>
      <c r="O205" s="1"/>
      <c r="P205" s="1"/>
      <c r="Q205" s="104"/>
      <c r="R205" s="104"/>
      <c r="S205" s="1"/>
      <c r="T205" s="1"/>
      <c r="U205" s="1"/>
      <c r="V205" s="1"/>
      <c r="W205" s="1"/>
      <c r="X205" s="1"/>
      <c r="Y205" s="1"/>
    </row>
    <row r="206" spans="1:25">
      <c r="A206" s="1"/>
      <c r="B206" s="1"/>
      <c r="C206" s="1"/>
      <c r="D206" s="1"/>
      <c r="E206" s="1"/>
      <c r="F206" s="1"/>
      <c r="G206" s="1"/>
      <c r="H206" s="1"/>
      <c r="I206" s="1"/>
      <c r="J206" s="1"/>
      <c r="K206" s="1"/>
      <c r="L206" s="1"/>
      <c r="M206" s="1"/>
      <c r="N206" s="1"/>
      <c r="O206" s="1"/>
      <c r="P206" s="1"/>
      <c r="Q206" s="104"/>
      <c r="R206" s="104"/>
      <c r="S206" s="1"/>
      <c r="T206" s="1"/>
      <c r="U206" s="1"/>
      <c r="V206" s="1"/>
      <c r="W206" s="1"/>
      <c r="X206" s="1"/>
      <c r="Y206" s="1"/>
    </row>
    <row r="207" spans="1:25">
      <c r="A207" s="1"/>
      <c r="B207" s="1"/>
      <c r="C207" s="1"/>
      <c r="D207" s="1"/>
      <c r="E207" s="1"/>
      <c r="F207" s="1"/>
      <c r="G207" s="1"/>
      <c r="H207" s="1"/>
      <c r="I207" s="1"/>
      <c r="J207" s="1"/>
      <c r="K207" s="1"/>
      <c r="L207" s="1"/>
      <c r="M207" s="1"/>
      <c r="N207" s="1"/>
      <c r="O207" s="1"/>
      <c r="P207" s="1"/>
      <c r="Q207" s="104"/>
      <c r="R207" s="104"/>
      <c r="S207" s="1"/>
      <c r="T207" s="1"/>
      <c r="U207" s="1"/>
      <c r="V207" s="1"/>
      <c r="W207" s="1"/>
      <c r="X207" s="1"/>
      <c r="Y207" s="1"/>
    </row>
    <row r="208" spans="1:25">
      <c r="A208" s="1"/>
      <c r="B208" s="1"/>
      <c r="C208" s="1"/>
      <c r="D208" s="1"/>
      <c r="E208" s="1"/>
      <c r="F208" s="1"/>
      <c r="G208" s="1"/>
      <c r="H208" s="1"/>
      <c r="I208" s="1"/>
      <c r="J208" s="1"/>
      <c r="K208" s="1"/>
      <c r="L208" s="1"/>
      <c r="M208" s="1"/>
      <c r="N208" s="1"/>
      <c r="O208" s="1"/>
      <c r="P208" s="1"/>
      <c r="Q208" s="104"/>
      <c r="R208" s="104"/>
      <c r="S208" s="1"/>
      <c r="T208" s="1"/>
      <c r="U208" s="1"/>
      <c r="V208" s="1"/>
      <c r="W208" s="1"/>
      <c r="X208" s="1"/>
      <c r="Y208" s="1"/>
    </row>
    <row r="209" spans="1:25">
      <c r="A209" s="1"/>
      <c r="B209" s="1"/>
      <c r="C209" s="1"/>
      <c r="D209" s="1"/>
      <c r="E209" s="1"/>
      <c r="F209" s="1"/>
      <c r="G209" s="1"/>
      <c r="H209" s="1"/>
      <c r="I209" s="1"/>
      <c r="J209" s="1"/>
      <c r="K209" s="1"/>
      <c r="L209" s="1"/>
      <c r="M209" s="1"/>
      <c r="N209" s="1"/>
      <c r="O209" s="1"/>
      <c r="P209" s="1"/>
      <c r="Q209" s="104"/>
      <c r="R209" s="104"/>
      <c r="S209" s="1"/>
      <c r="T209" s="1"/>
      <c r="U209" s="1"/>
      <c r="V209" s="1"/>
      <c r="W209" s="1"/>
      <c r="X209" s="1"/>
      <c r="Y209" s="1"/>
    </row>
    <row r="210" spans="1:25">
      <c r="A210" s="1"/>
      <c r="B210" s="1"/>
      <c r="C210" s="1"/>
      <c r="D210" s="1"/>
      <c r="E210" s="1"/>
      <c r="F210" s="1"/>
      <c r="G210" s="1"/>
      <c r="H210" s="1"/>
      <c r="I210" s="1"/>
      <c r="J210" s="1"/>
      <c r="K210" s="1"/>
      <c r="L210" s="1"/>
      <c r="M210" s="1"/>
      <c r="N210" s="1"/>
      <c r="O210" s="1"/>
      <c r="P210" s="1"/>
      <c r="Q210" s="104"/>
      <c r="R210" s="104"/>
      <c r="S210" s="1"/>
      <c r="T210" s="1"/>
      <c r="U210" s="1"/>
      <c r="V210" s="1"/>
      <c r="W210" s="1"/>
      <c r="X210" s="1"/>
      <c r="Y210" s="1"/>
    </row>
    <row r="211" spans="1:25">
      <c r="A211" s="1"/>
      <c r="B211" s="1"/>
      <c r="C211" s="1"/>
      <c r="D211" s="1"/>
      <c r="E211" s="1"/>
      <c r="F211" s="1"/>
      <c r="G211" s="1"/>
      <c r="H211" s="1"/>
      <c r="I211" s="1"/>
      <c r="J211" s="1"/>
      <c r="K211" s="1"/>
      <c r="L211" s="1"/>
      <c r="M211" s="1"/>
      <c r="N211" s="1"/>
      <c r="O211" s="1"/>
      <c r="P211" s="1"/>
      <c r="Q211" s="104"/>
      <c r="R211" s="104"/>
      <c r="S211" s="1"/>
      <c r="T211" s="1"/>
      <c r="U211" s="1"/>
      <c r="V211" s="1"/>
      <c r="W211" s="1"/>
      <c r="X211" s="1"/>
      <c r="Y211" s="1"/>
    </row>
    <row r="212" spans="1:25">
      <c r="A212" s="1"/>
      <c r="B212" s="1"/>
      <c r="C212" s="1"/>
      <c r="D212" s="1"/>
      <c r="E212" s="1"/>
      <c r="F212" s="1"/>
      <c r="G212" s="1"/>
      <c r="H212" s="1"/>
      <c r="I212" s="1"/>
      <c r="J212" s="1"/>
      <c r="K212" s="1"/>
      <c r="L212" s="1"/>
      <c r="M212" s="1"/>
      <c r="N212" s="1"/>
      <c r="O212" s="1"/>
      <c r="P212" s="1"/>
      <c r="Q212" s="104"/>
      <c r="R212" s="104"/>
      <c r="S212" s="1"/>
      <c r="T212" s="1"/>
      <c r="U212" s="1"/>
      <c r="V212" s="1"/>
      <c r="W212" s="1"/>
      <c r="X212" s="1"/>
      <c r="Y212" s="1"/>
    </row>
    <row r="213" spans="1:25">
      <c r="A213" s="1"/>
      <c r="B213" s="1"/>
      <c r="C213" s="1"/>
      <c r="D213" s="1"/>
      <c r="E213" s="1"/>
      <c r="F213" s="1"/>
      <c r="G213" s="1"/>
      <c r="H213" s="1"/>
      <c r="I213" s="1"/>
      <c r="J213" s="1"/>
      <c r="K213" s="1"/>
      <c r="L213" s="1"/>
      <c r="M213" s="1"/>
      <c r="N213" s="1"/>
      <c r="O213" s="1"/>
      <c r="P213" s="1"/>
      <c r="Q213" s="104"/>
      <c r="R213" s="104"/>
      <c r="S213" s="1"/>
      <c r="T213" s="1"/>
      <c r="U213" s="1"/>
      <c r="V213" s="1"/>
      <c r="W213" s="1"/>
      <c r="X213" s="1"/>
      <c r="Y213" s="1"/>
    </row>
    <row r="214" spans="1:25">
      <c r="A214" s="1"/>
      <c r="B214" s="1"/>
      <c r="C214" s="1"/>
      <c r="D214" s="1"/>
      <c r="E214" s="1"/>
      <c r="F214" s="1"/>
      <c r="G214" s="1"/>
      <c r="H214" s="1"/>
      <c r="I214" s="1"/>
      <c r="J214" s="1"/>
      <c r="K214" s="1"/>
      <c r="L214" s="1"/>
      <c r="M214" s="1"/>
      <c r="N214" s="1"/>
      <c r="O214" s="1"/>
      <c r="P214" s="1"/>
      <c r="Q214" s="104"/>
      <c r="R214" s="104"/>
      <c r="S214" s="1"/>
      <c r="T214" s="1"/>
      <c r="U214" s="1"/>
      <c r="V214" s="1"/>
      <c r="W214" s="1"/>
      <c r="X214" s="1"/>
      <c r="Y214" s="1"/>
    </row>
    <row r="215" spans="1:25">
      <c r="A215" s="1"/>
      <c r="B215" s="1"/>
      <c r="C215" s="1"/>
      <c r="D215" s="1"/>
      <c r="E215" s="1"/>
      <c r="F215" s="1"/>
      <c r="G215" s="1"/>
      <c r="H215" s="1"/>
      <c r="I215" s="1"/>
      <c r="J215" s="1"/>
      <c r="K215" s="1"/>
      <c r="L215" s="1"/>
      <c r="M215" s="1"/>
      <c r="N215" s="1"/>
      <c r="O215" s="1"/>
      <c r="P215" s="1"/>
      <c r="Q215" s="104"/>
      <c r="R215" s="104"/>
      <c r="S215" s="1"/>
      <c r="T215" s="1"/>
      <c r="U215" s="1"/>
      <c r="V215" s="1"/>
      <c r="W215" s="1"/>
      <c r="X215" s="1"/>
      <c r="Y215" s="1"/>
    </row>
    <row r="216" spans="1:25">
      <c r="A216" s="1"/>
      <c r="B216" s="1"/>
      <c r="C216" s="1"/>
      <c r="D216" s="1"/>
      <c r="E216" s="1"/>
      <c r="F216" s="1"/>
      <c r="G216" s="1"/>
      <c r="H216" s="1"/>
      <c r="I216" s="1"/>
      <c r="J216" s="1"/>
      <c r="K216" s="1"/>
      <c r="L216" s="1"/>
      <c r="M216" s="1"/>
      <c r="N216" s="1"/>
      <c r="O216" s="1"/>
      <c r="P216" s="1"/>
      <c r="Q216" s="104"/>
      <c r="R216" s="104"/>
      <c r="S216" s="1"/>
      <c r="T216" s="1"/>
      <c r="U216" s="1"/>
      <c r="V216" s="1"/>
      <c r="W216" s="1"/>
      <c r="X216" s="1"/>
      <c r="Y216" s="1"/>
    </row>
    <row r="217" spans="1:25">
      <c r="A217" s="1"/>
      <c r="B217" s="1"/>
      <c r="C217" s="1"/>
      <c r="D217" s="1"/>
      <c r="E217" s="1"/>
      <c r="F217" s="1"/>
      <c r="G217" s="1"/>
      <c r="H217" s="1"/>
      <c r="I217" s="1"/>
      <c r="J217" s="1"/>
      <c r="K217" s="1"/>
      <c r="L217" s="1"/>
      <c r="M217" s="1"/>
      <c r="N217" s="1"/>
      <c r="O217" s="1"/>
      <c r="P217" s="1"/>
      <c r="Q217" s="104"/>
      <c r="R217" s="104"/>
      <c r="S217" s="1"/>
      <c r="T217" s="1"/>
      <c r="U217" s="1"/>
      <c r="V217" s="1"/>
      <c r="W217" s="1"/>
      <c r="X217" s="1"/>
      <c r="Y217" s="1"/>
    </row>
    <row r="218" spans="1:25">
      <c r="A218" s="1"/>
      <c r="B218" s="1"/>
      <c r="C218" s="1"/>
      <c r="D218" s="1"/>
      <c r="E218" s="1"/>
      <c r="F218" s="1"/>
      <c r="G218" s="1"/>
      <c r="H218" s="1"/>
      <c r="I218" s="1"/>
      <c r="J218" s="1"/>
      <c r="K218" s="1"/>
      <c r="L218" s="1"/>
      <c r="M218" s="1"/>
      <c r="N218" s="1"/>
      <c r="O218" s="1"/>
      <c r="P218" s="1"/>
      <c r="Q218" s="104"/>
      <c r="R218" s="104"/>
      <c r="S218" s="1"/>
      <c r="T218" s="1"/>
      <c r="U218" s="1"/>
      <c r="V218" s="1"/>
      <c r="W218" s="1"/>
      <c r="X218" s="1"/>
      <c r="Y218" s="1"/>
    </row>
    <row r="219" spans="1:25">
      <c r="A219" s="1"/>
      <c r="B219" s="1"/>
      <c r="C219" s="1"/>
      <c r="D219" s="1"/>
      <c r="E219" s="1"/>
      <c r="F219" s="1"/>
      <c r="G219" s="1"/>
      <c r="H219" s="1"/>
      <c r="I219" s="1"/>
      <c r="J219" s="1"/>
      <c r="K219" s="1"/>
      <c r="L219" s="1"/>
      <c r="M219" s="1"/>
      <c r="N219" s="1"/>
      <c r="O219" s="1"/>
      <c r="P219" s="1"/>
      <c r="Q219" s="104"/>
      <c r="R219" s="104"/>
      <c r="S219" s="1"/>
      <c r="T219" s="1"/>
      <c r="U219" s="1"/>
      <c r="V219" s="1"/>
      <c r="W219" s="1"/>
      <c r="X219" s="1"/>
      <c r="Y219" s="1"/>
    </row>
    <row r="220" spans="1:25">
      <c r="A220" s="1"/>
      <c r="B220" s="1"/>
      <c r="C220" s="1"/>
      <c r="D220" s="1"/>
      <c r="E220" s="1"/>
      <c r="F220" s="1"/>
      <c r="G220" s="1"/>
      <c r="H220" s="1"/>
      <c r="I220" s="1"/>
      <c r="J220" s="1"/>
      <c r="K220" s="1"/>
      <c r="L220" s="1"/>
      <c r="M220" s="1"/>
      <c r="N220" s="1"/>
      <c r="O220" s="1"/>
      <c r="P220" s="1"/>
      <c r="Q220" s="104"/>
      <c r="R220" s="104"/>
      <c r="S220" s="1"/>
      <c r="T220" s="1"/>
      <c r="U220" s="1"/>
      <c r="V220" s="1"/>
      <c r="W220" s="1"/>
      <c r="X220" s="1"/>
      <c r="Y220" s="1"/>
    </row>
    <row r="221" spans="1:25">
      <c r="A221" s="1"/>
      <c r="B221" s="1"/>
      <c r="C221" s="1"/>
      <c r="D221" s="1"/>
      <c r="E221" s="1"/>
      <c r="F221" s="1"/>
      <c r="G221" s="1"/>
      <c r="H221" s="1"/>
      <c r="I221" s="1"/>
      <c r="J221" s="1"/>
      <c r="K221" s="1"/>
      <c r="L221" s="1"/>
      <c r="M221" s="1"/>
      <c r="N221" s="1"/>
      <c r="O221" s="1"/>
      <c r="P221" s="1"/>
      <c r="Q221" s="104"/>
      <c r="R221" s="104"/>
      <c r="S221" s="1"/>
      <c r="T221" s="1"/>
      <c r="U221" s="1"/>
      <c r="V221" s="1"/>
      <c r="W221" s="1"/>
      <c r="X221" s="1"/>
      <c r="Y221" s="1"/>
    </row>
    <row r="222" spans="1:25">
      <c r="A222" s="1"/>
      <c r="B222" s="1"/>
      <c r="C222" s="1"/>
      <c r="D222" s="1"/>
      <c r="E222" s="1"/>
      <c r="F222" s="1"/>
      <c r="G222" s="1"/>
      <c r="H222" s="1"/>
      <c r="I222" s="1"/>
      <c r="J222" s="1"/>
      <c r="K222" s="1"/>
      <c r="L222" s="1"/>
      <c r="M222" s="1"/>
      <c r="N222" s="1"/>
      <c r="O222" s="1"/>
      <c r="P222" s="1"/>
      <c r="Q222" s="104"/>
      <c r="R222" s="104"/>
      <c r="S222" s="1"/>
      <c r="T222" s="1"/>
      <c r="U222" s="1"/>
      <c r="V222" s="1"/>
      <c r="W222" s="1"/>
      <c r="X222" s="1"/>
      <c r="Y222" s="1"/>
    </row>
    <row r="223" spans="1:25">
      <c r="A223" s="1"/>
      <c r="B223" s="1"/>
      <c r="C223" s="1"/>
      <c r="D223" s="1"/>
      <c r="E223" s="1"/>
      <c r="F223" s="1"/>
      <c r="G223" s="1"/>
      <c r="H223" s="1"/>
      <c r="I223" s="1"/>
      <c r="J223" s="1"/>
      <c r="K223" s="1"/>
      <c r="L223" s="1"/>
      <c r="M223" s="1"/>
      <c r="N223" s="1"/>
      <c r="O223" s="1"/>
      <c r="P223" s="1"/>
      <c r="Q223" s="104"/>
      <c r="R223" s="104"/>
      <c r="S223" s="1"/>
      <c r="T223" s="1"/>
      <c r="U223" s="1"/>
      <c r="V223" s="1"/>
      <c r="W223" s="1"/>
      <c r="X223" s="1"/>
      <c r="Y223" s="1"/>
    </row>
    <row r="224" spans="1:25">
      <c r="A224" s="1"/>
      <c r="B224" s="1"/>
      <c r="C224" s="1"/>
      <c r="D224" s="1"/>
      <c r="E224" s="1"/>
      <c r="F224" s="1"/>
      <c r="G224" s="1"/>
      <c r="H224" s="1"/>
      <c r="I224" s="1"/>
      <c r="J224" s="1"/>
      <c r="K224" s="1"/>
      <c r="L224" s="1"/>
      <c r="M224" s="1"/>
      <c r="N224" s="1"/>
      <c r="O224" s="1"/>
      <c r="P224" s="1"/>
      <c r="Q224" s="104"/>
      <c r="R224" s="104"/>
      <c r="S224" s="1"/>
      <c r="T224" s="1"/>
      <c r="U224" s="1"/>
      <c r="V224" s="1"/>
      <c r="W224" s="1"/>
      <c r="X224" s="1"/>
      <c r="Y224" s="1"/>
    </row>
    <row r="225" spans="1:25">
      <c r="A225" s="1"/>
      <c r="B225" s="1"/>
      <c r="C225" s="1"/>
      <c r="D225" s="1"/>
      <c r="E225" s="1"/>
      <c r="F225" s="1"/>
      <c r="G225" s="1"/>
      <c r="H225" s="1"/>
      <c r="I225" s="1"/>
      <c r="J225" s="1"/>
      <c r="K225" s="1"/>
      <c r="L225" s="1"/>
      <c r="M225" s="1"/>
      <c r="N225" s="1"/>
      <c r="O225" s="1"/>
      <c r="P225" s="1"/>
      <c r="Q225" s="104"/>
      <c r="R225" s="104"/>
      <c r="S225" s="1"/>
      <c r="T225" s="1"/>
      <c r="U225" s="1"/>
      <c r="V225" s="1"/>
      <c r="W225" s="1"/>
      <c r="X225" s="1"/>
      <c r="Y225" s="1"/>
    </row>
    <row r="226" spans="1:25">
      <c r="A226" s="1"/>
      <c r="B226" s="1"/>
      <c r="C226" s="1"/>
      <c r="D226" s="1"/>
      <c r="E226" s="1"/>
      <c r="F226" s="1"/>
      <c r="G226" s="1"/>
      <c r="H226" s="1"/>
      <c r="I226" s="1"/>
      <c r="J226" s="1"/>
      <c r="K226" s="1"/>
      <c r="L226" s="1"/>
      <c r="M226" s="1"/>
      <c r="N226" s="1"/>
      <c r="O226" s="1"/>
      <c r="P226" s="1"/>
      <c r="Q226" s="104"/>
      <c r="R226" s="104"/>
      <c r="S226" s="1"/>
      <c r="T226" s="1"/>
      <c r="U226" s="1"/>
      <c r="V226" s="1"/>
      <c r="W226" s="1"/>
      <c r="X226" s="1"/>
      <c r="Y226" s="1"/>
    </row>
    <row r="227" spans="1:25">
      <c r="A227" s="1"/>
      <c r="B227" s="1"/>
      <c r="C227" s="1"/>
      <c r="D227" s="1"/>
      <c r="E227" s="1"/>
      <c r="F227" s="1"/>
      <c r="G227" s="1"/>
      <c r="H227" s="1"/>
      <c r="I227" s="1"/>
      <c r="J227" s="1"/>
      <c r="K227" s="1"/>
      <c r="L227" s="1"/>
      <c r="M227" s="1"/>
      <c r="N227" s="1"/>
      <c r="O227" s="1"/>
      <c r="P227" s="1"/>
      <c r="Q227" s="104"/>
      <c r="R227" s="104"/>
      <c r="S227" s="1"/>
      <c r="T227" s="1"/>
      <c r="U227" s="1"/>
      <c r="V227" s="1"/>
      <c r="W227" s="1"/>
      <c r="X227" s="1"/>
      <c r="Y227" s="1"/>
    </row>
    <row r="228" spans="1:25">
      <c r="A228" s="1"/>
      <c r="B228" s="1"/>
      <c r="C228" s="1"/>
      <c r="D228" s="1"/>
      <c r="E228" s="1"/>
      <c r="F228" s="1"/>
      <c r="G228" s="1"/>
      <c r="H228" s="1"/>
      <c r="I228" s="1"/>
      <c r="J228" s="1"/>
      <c r="K228" s="1"/>
      <c r="L228" s="1"/>
      <c r="M228" s="1"/>
      <c r="N228" s="1"/>
      <c r="O228" s="1"/>
      <c r="P228" s="1"/>
      <c r="Q228" s="104"/>
      <c r="R228" s="104"/>
      <c r="S228" s="1"/>
      <c r="T228" s="1"/>
      <c r="U228" s="1"/>
      <c r="V228" s="1"/>
      <c r="W228" s="1"/>
      <c r="X228" s="1"/>
      <c r="Y228" s="1"/>
    </row>
    <row r="229" spans="1:25">
      <c r="A229" s="1"/>
      <c r="B229" s="1"/>
      <c r="C229" s="1"/>
      <c r="D229" s="1"/>
      <c r="E229" s="1"/>
      <c r="F229" s="1"/>
      <c r="G229" s="1"/>
      <c r="H229" s="1"/>
      <c r="I229" s="1"/>
      <c r="J229" s="1"/>
      <c r="K229" s="1"/>
      <c r="L229" s="1"/>
      <c r="M229" s="1"/>
      <c r="N229" s="1"/>
      <c r="O229" s="1"/>
      <c r="P229" s="1"/>
      <c r="Q229" s="104"/>
      <c r="R229" s="104"/>
      <c r="S229" s="1"/>
      <c r="T229" s="1"/>
      <c r="U229" s="1"/>
      <c r="V229" s="1"/>
      <c r="W229" s="1"/>
      <c r="X229" s="1"/>
      <c r="Y229" s="1"/>
    </row>
    <row r="230" spans="1:25">
      <c r="A230" s="1"/>
      <c r="B230" s="1"/>
      <c r="C230" s="1"/>
      <c r="D230" s="1"/>
      <c r="E230" s="1"/>
      <c r="F230" s="1"/>
      <c r="G230" s="1"/>
      <c r="H230" s="1"/>
      <c r="I230" s="1"/>
      <c r="J230" s="1"/>
      <c r="K230" s="1"/>
      <c r="L230" s="1"/>
      <c r="M230" s="1"/>
      <c r="N230" s="1"/>
      <c r="O230" s="1"/>
      <c r="P230" s="1"/>
      <c r="Q230" s="104"/>
      <c r="R230" s="104"/>
      <c r="S230" s="1"/>
      <c r="T230" s="1"/>
      <c r="U230" s="1"/>
      <c r="V230" s="1"/>
      <c r="W230" s="1"/>
      <c r="X230" s="1"/>
      <c r="Y230" s="1"/>
    </row>
    <row r="231" spans="1:25">
      <c r="A231" s="1"/>
      <c r="B231" s="1"/>
      <c r="C231" s="1"/>
      <c r="D231" s="1"/>
      <c r="E231" s="1"/>
      <c r="F231" s="1"/>
      <c r="G231" s="1"/>
      <c r="H231" s="1"/>
      <c r="I231" s="1"/>
      <c r="J231" s="1"/>
      <c r="K231" s="1"/>
      <c r="L231" s="1"/>
      <c r="M231" s="1"/>
      <c r="N231" s="1"/>
      <c r="O231" s="1"/>
      <c r="P231" s="1"/>
      <c r="Q231" s="104"/>
      <c r="R231" s="104"/>
      <c r="S231" s="1"/>
      <c r="T231" s="1"/>
      <c r="U231" s="1"/>
      <c r="V231" s="1"/>
      <c r="W231" s="1"/>
      <c r="X231" s="1"/>
      <c r="Y231" s="1"/>
    </row>
    <row r="232" spans="1:25">
      <c r="A232" s="1"/>
      <c r="B232" s="1"/>
      <c r="C232" s="1"/>
      <c r="D232" s="1"/>
      <c r="E232" s="1"/>
      <c r="F232" s="1"/>
      <c r="G232" s="1"/>
      <c r="H232" s="1"/>
      <c r="I232" s="1"/>
      <c r="J232" s="1"/>
      <c r="K232" s="1"/>
      <c r="L232" s="1"/>
      <c r="M232" s="1"/>
      <c r="N232" s="1"/>
      <c r="O232" s="1"/>
      <c r="P232" s="1"/>
      <c r="Q232" s="104"/>
      <c r="R232" s="104"/>
      <c r="S232" s="1"/>
      <c r="T232" s="1"/>
      <c r="U232" s="1"/>
      <c r="V232" s="1"/>
      <c r="W232" s="1"/>
      <c r="X232" s="1"/>
      <c r="Y232" s="1"/>
    </row>
    <row r="233" spans="1:25">
      <c r="A233" s="1"/>
      <c r="B233" s="1"/>
      <c r="C233" s="1"/>
      <c r="D233" s="1"/>
      <c r="E233" s="1"/>
      <c r="F233" s="1"/>
      <c r="G233" s="1"/>
      <c r="H233" s="1"/>
      <c r="I233" s="1"/>
      <c r="J233" s="1"/>
      <c r="K233" s="1"/>
      <c r="L233" s="1"/>
      <c r="M233" s="1"/>
      <c r="N233" s="1"/>
      <c r="O233" s="1"/>
      <c r="P233" s="1"/>
      <c r="Q233" s="104"/>
      <c r="R233" s="104"/>
      <c r="S233" s="1"/>
      <c r="T233" s="1"/>
      <c r="U233" s="1"/>
      <c r="V233" s="1"/>
      <c r="W233" s="1"/>
      <c r="X233" s="1"/>
      <c r="Y233" s="1"/>
    </row>
    <row r="234" spans="1:25">
      <c r="A234" s="1"/>
      <c r="B234" s="1"/>
      <c r="C234" s="1"/>
      <c r="D234" s="1"/>
      <c r="E234" s="1"/>
      <c r="F234" s="1"/>
      <c r="G234" s="1"/>
      <c r="H234" s="1"/>
      <c r="I234" s="1"/>
      <c r="J234" s="1"/>
      <c r="K234" s="1"/>
      <c r="L234" s="1"/>
      <c r="M234" s="1"/>
      <c r="N234" s="1"/>
      <c r="O234" s="1"/>
      <c r="P234" s="1"/>
      <c r="Q234" s="104"/>
      <c r="R234" s="104"/>
      <c r="S234" s="1"/>
      <c r="T234" s="1"/>
      <c r="U234" s="1"/>
      <c r="V234" s="1"/>
      <c r="W234" s="1"/>
      <c r="X234" s="1"/>
      <c r="Y234" s="1"/>
    </row>
    <row r="235" spans="1:25">
      <c r="A235" s="1"/>
      <c r="B235" s="1"/>
      <c r="C235" s="1"/>
      <c r="D235" s="1"/>
      <c r="E235" s="1"/>
      <c r="F235" s="1"/>
      <c r="G235" s="1"/>
      <c r="H235" s="1"/>
      <c r="I235" s="1"/>
      <c r="J235" s="1"/>
      <c r="K235" s="1"/>
      <c r="L235" s="1"/>
      <c r="M235" s="1"/>
      <c r="N235" s="1"/>
      <c r="O235" s="1"/>
      <c r="P235" s="1"/>
      <c r="Q235" s="104"/>
      <c r="R235" s="104"/>
      <c r="S235" s="1"/>
      <c r="T235" s="1"/>
      <c r="U235" s="1"/>
      <c r="V235" s="1"/>
      <c r="W235" s="1"/>
      <c r="X235" s="1"/>
      <c r="Y235" s="1"/>
    </row>
    <row r="236" spans="1:25">
      <c r="A236" s="1"/>
      <c r="B236" s="1"/>
      <c r="C236" s="1"/>
      <c r="D236" s="1"/>
      <c r="E236" s="1"/>
      <c r="F236" s="1"/>
      <c r="G236" s="1"/>
      <c r="H236" s="1"/>
      <c r="I236" s="1"/>
      <c r="J236" s="1"/>
      <c r="K236" s="1"/>
      <c r="L236" s="1"/>
      <c r="M236" s="1"/>
      <c r="N236" s="1"/>
      <c r="O236" s="1"/>
      <c r="P236" s="1"/>
      <c r="Q236" s="104"/>
      <c r="R236" s="104"/>
      <c r="S236" s="1"/>
      <c r="T236" s="1"/>
      <c r="U236" s="1"/>
      <c r="V236" s="1"/>
      <c r="W236" s="1"/>
      <c r="X236" s="1"/>
      <c r="Y236" s="1"/>
    </row>
    <row r="237" spans="1:25">
      <c r="A237" s="1"/>
      <c r="B237" s="1"/>
      <c r="C237" s="1"/>
      <c r="D237" s="1"/>
      <c r="E237" s="1"/>
      <c r="F237" s="1"/>
      <c r="G237" s="1"/>
      <c r="H237" s="1"/>
      <c r="I237" s="1"/>
      <c r="J237" s="1"/>
      <c r="K237" s="1"/>
      <c r="L237" s="1"/>
      <c r="M237" s="1"/>
      <c r="N237" s="1"/>
      <c r="O237" s="1"/>
      <c r="P237" s="1"/>
      <c r="Q237" s="104"/>
      <c r="R237" s="104"/>
      <c r="S237" s="1"/>
      <c r="T237" s="1"/>
      <c r="U237" s="1"/>
      <c r="V237" s="1"/>
      <c r="W237" s="1"/>
      <c r="X237" s="1"/>
      <c r="Y237" s="1"/>
    </row>
    <row r="238" spans="1:25">
      <c r="A238" s="1"/>
      <c r="B238" s="1"/>
      <c r="C238" s="1"/>
      <c r="D238" s="1"/>
      <c r="E238" s="1"/>
      <c r="F238" s="1"/>
      <c r="G238" s="1"/>
      <c r="H238" s="1"/>
      <c r="I238" s="1"/>
      <c r="J238" s="1"/>
      <c r="K238" s="1"/>
      <c r="L238" s="1"/>
      <c r="M238" s="1"/>
      <c r="N238" s="1"/>
      <c r="O238" s="1"/>
      <c r="P238" s="1"/>
      <c r="Q238" s="104"/>
      <c r="R238" s="104"/>
      <c r="S238" s="1"/>
      <c r="T238" s="1"/>
      <c r="U238" s="1"/>
      <c r="V238" s="1"/>
      <c r="W238" s="1"/>
      <c r="X238" s="1"/>
      <c r="Y238" s="1"/>
    </row>
    <row r="239" spans="1:25">
      <c r="A239" s="1"/>
      <c r="B239" s="1"/>
      <c r="C239" s="1"/>
      <c r="D239" s="1"/>
      <c r="E239" s="1"/>
      <c r="F239" s="1"/>
      <c r="G239" s="1"/>
      <c r="H239" s="1"/>
      <c r="I239" s="1"/>
      <c r="J239" s="1"/>
      <c r="K239" s="1"/>
      <c r="L239" s="1"/>
      <c r="M239" s="1"/>
      <c r="N239" s="1"/>
      <c r="O239" s="1"/>
      <c r="P239" s="1"/>
      <c r="Q239" s="104"/>
      <c r="R239" s="104"/>
      <c r="S239" s="1"/>
      <c r="T239" s="1"/>
      <c r="U239" s="1"/>
      <c r="V239" s="1"/>
      <c r="W239" s="1"/>
      <c r="X239" s="1"/>
      <c r="Y239" s="1"/>
    </row>
    <row r="240" spans="1:25">
      <c r="A240" s="1"/>
      <c r="B240" s="1"/>
      <c r="C240" s="1"/>
      <c r="D240" s="1"/>
      <c r="E240" s="1"/>
      <c r="F240" s="1"/>
      <c r="G240" s="1"/>
      <c r="H240" s="1"/>
      <c r="I240" s="1"/>
      <c r="J240" s="1"/>
      <c r="K240" s="1"/>
      <c r="L240" s="1"/>
      <c r="M240" s="1"/>
      <c r="N240" s="1"/>
      <c r="O240" s="1"/>
      <c r="P240" s="1"/>
      <c r="Q240" s="104"/>
      <c r="R240" s="104"/>
      <c r="S240" s="1"/>
      <c r="T240" s="1"/>
      <c r="U240" s="1"/>
      <c r="V240" s="1"/>
      <c r="W240" s="1"/>
      <c r="X240" s="1"/>
      <c r="Y240" s="1"/>
    </row>
    <row r="241" spans="1:25">
      <c r="A241" s="1"/>
      <c r="B241" s="1"/>
      <c r="C241" s="1"/>
      <c r="D241" s="1"/>
      <c r="E241" s="1"/>
      <c r="F241" s="1"/>
      <c r="G241" s="1"/>
      <c r="H241" s="1"/>
      <c r="I241" s="1"/>
      <c r="J241" s="1"/>
      <c r="K241" s="1"/>
      <c r="L241" s="1"/>
      <c r="M241" s="1"/>
      <c r="N241" s="1"/>
      <c r="O241" s="1"/>
      <c r="P241" s="1"/>
      <c r="Q241" s="104"/>
      <c r="R241" s="104"/>
      <c r="S241" s="1"/>
      <c r="T241" s="1"/>
      <c r="U241" s="1"/>
      <c r="V241" s="1"/>
      <c r="W241" s="1"/>
      <c r="X241" s="1"/>
      <c r="Y241" s="1"/>
    </row>
    <row r="242" spans="1:25">
      <c r="A242" s="1"/>
      <c r="B242" s="1"/>
      <c r="C242" s="1"/>
      <c r="D242" s="1"/>
      <c r="E242" s="1"/>
      <c r="F242" s="1"/>
      <c r="G242" s="1"/>
      <c r="H242" s="1"/>
      <c r="I242" s="1"/>
      <c r="J242" s="1"/>
      <c r="K242" s="1"/>
      <c r="L242" s="1"/>
      <c r="M242" s="1"/>
      <c r="N242" s="1"/>
      <c r="O242" s="1"/>
      <c r="P242" s="1"/>
      <c r="Q242" s="104"/>
      <c r="R242" s="104"/>
      <c r="S242" s="1"/>
      <c r="T242" s="1"/>
      <c r="U242" s="1"/>
      <c r="V242" s="1"/>
      <c r="W242" s="1"/>
      <c r="X242" s="1"/>
      <c r="Y242" s="1"/>
    </row>
    <row r="243" spans="1:25">
      <c r="A243" s="1"/>
      <c r="B243" s="1"/>
      <c r="C243" s="1"/>
      <c r="D243" s="1"/>
      <c r="E243" s="1"/>
      <c r="F243" s="1"/>
      <c r="G243" s="1"/>
      <c r="H243" s="1"/>
      <c r="I243" s="1"/>
      <c r="J243" s="1"/>
      <c r="K243" s="1"/>
      <c r="L243" s="1"/>
      <c r="M243" s="1"/>
      <c r="N243" s="1"/>
      <c r="O243" s="1"/>
      <c r="P243" s="1"/>
      <c r="Q243" s="104"/>
      <c r="R243" s="104"/>
      <c r="S243" s="1"/>
      <c r="T243" s="1"/>
      <c r="U243" s="1"/>
      <c r="V243" s="1"/>
      <c r="W243" s="1"/>
      <c r="X243" s="1"/>
      <c r="Y243" s="1"/>
    </row>
    <row r="244" spans="1:25">
      <c r="A244" s="1"/>
      <c r="B244" s="1"/>
      <c r="C244" s="1"/>
      <c r="D244" s="1"/>
      <c r="E244" s="1"/>
      <c r="F244" s="1"/>
      <c r="G244" s="1"/>
      <c r="H244" s="1"/>
      <c r="I244" s="1"/>
      <c r="J244" s="1"/>
      <c r="K244" s="1"/>
      <c r="L244" s="1"/>
      <c r="M244" s="1"/>
      <c r="N244" s="1"/>
      <c r="O244" s="1"/>
      <c r="P244" s="1"/>
      <c r="Q244" s="104"/>
      <c r="R244" s="104"/>
      <c r="S244" s="1"/>
      <c r="T244" s="1"/>
      <c r="U244" s="1"/>
      <c r="V244" s="1"/>
      <c r="W244" s="1"/>
      <c r="X244" s="1"/>
      <c r="Y244" s="1"/>
    </row>
    <row r="245" spans="1:25">
      <c r="A245" s="1"/>
      <c r="B245" s="1"/>
      <c r="C245" s="1"/>
      <c r="D245" s="1"/>
      <c r="E245" s="1"/>
      <c r="F245" s="1"/>
      <c r="G245" s="1"/>
      <c r="H245" s="1"/>
      <c r="I245" s="1"/>
      <c r="J245" s="1"/>
      <c r="K245" s="1"/>
      <c r="L245" s="1"/>
      <c r="M245" s="1"/>
      <c r="N245" s="1"/>
      <c r="O245" s="1"/>
      <c r="P245" s="1"/>
      <c r="Q245" s="104"/>
      <c r="R245" s="104"/>
      <c r="S245" s="1"/>
      <c r="T245" s="1"/>
      <c r="U245" s="1"/>
      <c r="V245" s="1"/>
      <c r="W245" s="1"/>
      <c r="X245" s="1"/>
      <c r="Y245" s="1"/>
    </row>
    <row r="246" spans="1:25">
      <c r="A246" s="1"/>
      <c r="B246" s="1"/>
      <c r="C246" s="1"/>
      <c r="D246" s="1"/>
      <c r="E246" s="1"/>
      <c r="F246" s="1"/>
      <c r="G246" s="1"/>
      <c r="H246" s="1"/>
      <c r="I246" s="1"/>
      <c r="J246" s="1"/>
      <c r="K246" s="1"/>
      <c r="L246" s="1"/>
      <c r="M246" s="1"/>
      <c r="N246" s="1"/>
      <c r="O246" s="1"/>
      <c r="P246" s="1"/>
      <c r="Q246" s="104"/>
      <c r="R246" s="104"/>
      <c r="S246" s="1"/>
      <c r="T246" s="1"/>
      <c r="U246" s="1"/>
      <c r="V246" s="1"/>
      <c r="W246" s="1"/>
      <c r="X246" s="1"/>
      <c r="Y246" s="1"/>
    </row>
    <row r="247" spans="1:25">
      <c r="A247" s="1"/>
      <c r="B247" s="1"/>
      <c r="C247" s="1"/>
      <c r="D247" s="1"/>
      <c r="E247" s="1"/>
      <c r="F247" s="1"/>
      <c r="G247" s="1"/>
      <c r="H247" s="1"/>
      <c r="I247" s="1"/>
      <c r="J247" s="1"/>
      <c r="K247" s="1"/>
      <c r="L247" s="1"/>
      <c r="M247" s="1"/>
      <c r="N247" s="1"/>
      <c r="O247" s="1"/>
      <c r="P247" s="1"/>
      <c r="Q247" s="104"/>
      <c r="R247" s="104"/>
      <c r="S247" s="1"/>
      <c r="T247" s="1"/>
      <c r="U247" s="1"/>
      <c r="V247" s="1"/>
      <c r="W247" s="1"/>
      <c r="X247" s="1"/>
      <c r="Y247" s="1"/>
    </row>
    <row r="248" spans="1:25">
      <c r="A248" s="1"/>
      <c r="B248" s="1"/>
      <c r="C248" s="1"/>
      <c r="D248" s="1"/>
      <c r="E248" s="1"/>
      <c r="F248" s="1"/>
      <c r="G248" s="1"/>
      <c r="H248" s="1"/>
      <c r="I248" s="1"/>
      <c r="J248" s="1"/>
      <c r="K248" s="1"/>
      <c r="L248" s="1"/>
      <c r="M248" s="1"/>
      <c r="N248" s="1"/>
      <c r="O248" s="1"/>
      <c r="P248" s="1"/>
      <c r="Q248" s="104"/>
      <c r="R248" s="104"/>
      <c r="S248" s="1"/>
      <c r="T248" s="1"/>
      <c r="U248" s="1"/>
      <c r="V248" s="1"/>
      <c r="W248" s="1"/>
      <c r="X248" s="1"/>
      <c r="Y248" s="1"/>
    </row>
    <row r="249" spans="1:25">
      <c r="A249" s="1"/>
      <c r="B249" s="1"/>
      <c r="C249" s="1"/>
      <c r="D249" s="1"/>
      <c r="E249" s="1"/>
      <c r="F249" s="1"/>
      <c r="G249" s="1"/>
      <c r="H249" s="1"/>
      <c r="I249" s="1"/>
      <c r="J249" s="1"/>
      <c r="K249" s="1"/>
      <c r="L249" s="1"/>
      <c r="M249" s="1"/>
      <c r="N249" s="1"/>
      <c r="O249" s="1"/>
      <c r="P249" s="1"/>
      <c r="Q249" s="104"/>
      <c r="R249" s="104"/>
      <c r="S249" s="1"/>
      <c r="T249" s="1"/>
      <c r="U249" s="1"/>
      <c r="V249" s="1"/>
      <c r="W249" s="1"/>
      <c r="X249" s="1"/>
      <c r="Y249" s="1"/>
    </row>
    <row r="250" spans="1:25">
      <c r="A250" s="1"/>
      <c r="B250" s="1"/>
      <c r="C250" s="1"/>
      <c r="D250" s="1"/>
      <c r="E250" s="1"/>
      <c r="F250" s="1"/>
      <c r="G250" s="1"/>
      <c r="H250" s="1"/>
      <c r="I250" s="1"/>
      <c r="J250" s="1"/>
      <c r="K250" s="1"/>
      <c r="L250" s="1"/>
      <c r="M250" s="1"/>
      <c r="N250" s="1"/>
      <c r="O250" s="1"/>
      <c r="P250" s="1"/>
      <c r="Q250" s="104"/>
      <c r="R250" s="104"/>
      <c r="S250" s="1"/>
      <c r="T250" s="1"/>
      <c r="U250" s="1"/>
      <c r="V250" s="1"/>
      <c r="W250" s="1"/>
      <c r="X250" s="1"/>
      <c r="Y250" s="1"/>
    </row>
    <row r="251" spans="1:25">
      <c r="A251" s="1"/>
      <c r="B251" s="1"/>
      <c r="C251" s="1"/>
      <c r="D251" s="1"/>
      <c r="E251" s="1"/>
      <c r="F251" s="1"/>
      <c r="G251" s="1"/>
      <c r="H251" s="1"/>
      <c r="I251" s="1"/>
      <c r="J251" s="1"/>
      <c r="K251" s="1"/>
      <c r="L251" s="1"/>
      <c r="M251" s="1"/>
      <c r="N251" s="1"/>
      <c r="O251" s="1"/>
      <c r="P251" s="1"/>
      <c r="Q251" s="104"/>
      <c r="R251" s="104"/>
      <c r="S251" s="1"/>
      <c r="T251" s="1"/>
      <c r="U251" s="1"/>
      <c r="V251" s="1"/>
      <c r="W251" s="1"/>
      <c r="X251" s="1"/>
      <c r="Y251" s="1"/>
    </row>
    <row r="252" spans="1:25">
      <c r="A252" s="1"/>
      <c r="B252" s="1"/>
      <c r="C252" s="1"/>
      <c r="D252" s="1"/>
      <c r="E252" s="1"/>
      <c r="F252" s="1"/>
      <c r="G252" s="1"/>
      <c r="H252" s="1"/>
      <c r="I252" s="1"/>
      <c r="J252" s="1"/>
      <c r="K252" s="1"/>
      <c r="L252" s="1"/>
      <c r="M252" s="1"/>
      <c r="N252" s="1"/>
      <c r="O252" s="1"/>
      <c r="P252" s="1"/>
      <c r="Q252" s="104"/>
      <c r="R252" s="104"/>
      <c r="S252" s="1"/>
      <c r="T252" s="1"/>
      <c r="U252" s="1"/>
      <c r="V252" s="1"/>
      <c r="W252" s="1"/>
      <c r="X252" s="1"/>
      <c r="Y252" s="1"/>
    </row>
    <row r="253" spans="1:25">
      <c r="A253" s="1"/>
      <c r="B253" s="1"/>
      <c r="C253" s="1"/>
      <c r="D253" s="1"/>
      <c r="E253" s="1"/>
      <c r="F253" s="1"/>
      <c r="G253" s="1"/>
      <c r="H253" s="1"/>
      <c r="I253" s="1"/>
      <c r="J253" s="1"/>
      <c r="K253" s="1"/>
      <c r="L253" s="1"/>
      <c r="M253" s="1"/>
      <c r="N253" s="1"/>
      <c r="O253" s="1"/>
      <c r="P253" s="1"/>
      <c r="Q253" s="104"/>
      <c r="R253" s="104"/>
      <c r="S253" s="1"/>
      <c r="T253" s="1"/>
      <c r="U253" s="1"/>
      <c r="V253" s="1"/>
      <c r="W253" s="1"/>
      <c r="X253" s="1"/>
      <c r="Y253" s="1"/>
    </row>
    <row r="254" spans="1:25">
      <c r="A254" s="1"/>
      <c r="B254" s="1"/>
      <c r="C254" s="1"/>
      <c r="D254" s="1"/>
      <c r="E254" s="1"/>
      <c r="F254" s="1"/>
      <c r="G254" s="1"/>
      <c r="H254" s="1"/>
      <c r="I254" s="1"/>
      <c r="J254" s="1"/>
      <c r="K254" s="1"/>
      <c r="L254" s="1"/>
      <c r="M254" s="1"/>
      <c r="N254" s="1"/>
      <c r="O254" s="1"/>
      <c r="P254" s="1"/>
      <c r="Q254" s="104"/>
      <c r="R254" s="104"/>
      <c r="S254" s="1"/>
      <c r="T254" s="1"/>
      <c r="U254" s="1"/>
      <c r="V254" s="1"/>
      <c r="W254" s="1"/>
      <c r="X254" s="1"/>
      <c r="Y254" s="1"/>
    </row>
    <row r="255" spans="1:25">
      <c r="A255" s="1"/>
      <c r="B255" s="1"/>
      <c r="C255" s="1"/>
      <c r="D255" s="1"/>
      <c r="E255" s="1"/>
      <c r="F255" s="1"/>
      <c r="G255" s="1"/>
      <c r="H255" s="1"/>
      <c r="I255" s="1"/>
      <c r="J255" s="1"/>
      <c r="K255" s="1"/>
      <c r="L255" s="1"/>
      <c r="M255" s="1"/>
      <c r="N255" s="1"/>
      <c r="O255" s="1"/>
      <c r="P255" s="1"/>
      <c r="Q255" s="104"/>
      <c r="R255" s="104"/>
      <c r="S255" s="1"/>
      <c r="T255" s="1"/>
      <c r="U255" s="1"/>
      <c r="V255" s="1"/>
      <c r="W255" s="1"/>
      <c r="X255" s="1"/>
      <c r="Y255" s="1"/>
    </row>
    <row r="256" spans="1:25">
      <c r="A256" s="1"/>
      <c r="B256" s="1"/>
      <c r="C256" s="1"/>
      <c r="D256" s="1"/>
      <c r="E256" s="1"/>
      <c r="F256" s="1"/>
      <c r="G256" s="1"/>
      <c r="H256" s="1"/>
      <c r="I256" s="1"/>
      <c r="J256" s="1"/>
      <c r="K256" s="1"/>
      <c r="L256" s="1"/>
      <c r="M256" s="1"/>
      <c r="N256" s="1"/>
      <c r="O256" s="1"/>
      <c r="P256" s="1"/>
      <c r="Q256" s="104"/>
      <c r="R256" s="104"/>
      <c r="S256" s="1"/>
      <c r="T256" s="1"/>
      <c r="U256" s="1"/>
      <c r="V256" s="1"/>
      <c r="W256" s="1"/>
      <c r="X256" s="1"/>
      <c r="Y256" s="1"/>
    </row>
    <row r="257" spans="1:25">
      <c r="A257" s="1"/>
      <c r="B257" s="1"/>
      <c r="C257" s="1"/>
      <c r="D257" s="1"/>
      <c r="E257" s="1"/>
      <c r="F257" s="1"/>
      <c r="G257" s="1"/>
      <c r="H257" s="1"/>
      <c r="I257" s="1"/>
      <c r="J257" s="1"/>
      <c r="K257" s="1"/>
      <c r="L257" s="1"/>
      <c r="M257" s="1"/>
      <c r="N257" s="1"/>
      <c r="O257" s="1"/>
      <c r="P257" s="1"/>
      <c r="Q257" s="104"/>
      <c r="R257" s="104"/>
      <c r="S257" s="1"/>
      <c r="T257" s="1"/>
      <c r="U257" s="1"/>
      <c r="V257" s="1"/>
      <c r="W257" s="1"/>
      <c r="X257" s="1"/>
      <c r="Y257" s="1"/>
    </row>
    <row r="258" spans="1:25">
      <c r="A258" s="1"/>
      <c r="B258" s="1"/>
      <c r="C258" s="1"/>
      <c r="D258" s="1"/>
      <c r="E258" s="1"/>
      <c r="F258" s="1"/>
      <c r="G258" s="1"/>
      <c r="H258" s="1"/>
      <c r="I258" s="1"/>
      <c r="J258" s="1"/>
      <c r="K258" s="1"/>
      <c r="L258" s="1"/>
      <c r="M258" s="1"/>
      <c r="N258" s="1"/>
      <c r="O258" s="1"/>
      <c r="P258" s="1"/>
      <c r="Q258" s="104"/>
      <c r="R258" s="104"/>
      <c r="S258" s="1"/>
      <c r="T258" s="1"/>
      <c r="U258" s="1"/>
      <c r="V258" s="1"/>
      <c r="W258" s="1"/>
      <c r="X258" s="1"/>
      <c r="Y258" s="1"/>
    </row>
    <row r="259" spans="1:25">
      <c r="A259" s="1"/>
      <c r="B259" s="1"/>
      <c r="C259" s="1"/>
      <c r="D259" s="1"/>
      <c r="E259" s="1"/>
      <c r="F259" s="1"/>
      <c r="G259" s="1"/>
      <c r="H259" s="1"/>
      <c r="I259" s="1"/>
      <c r="J259" s="1"/>
      <c r="K259" s="1"/>
      <c r="L259" s="1"/>
      <c r="M259" s="1"/>
      <c r="N259" s="1"/>
      <c r="O259" s="1"/>
      <c r="P259" s="1"/>
      <c r="Q259" s="104"/>
      <c r="R259" s="104"/>
      <c r="S259" s="1"/>
      <c r="T259" s="1"/>
      <c r="U259" s="1"/>
      <c r="V259" s="1"/>
      <c r="W259" s="1"/>
      <c r="X259" s="1"/>
      <c r="Y259" s="1"/>
    </row>
    <row r="260" spans="1:25">
      <c r="A260" s="1"/>
      <c r="B260" s="1"/>
      <c r="C260" s="1"/>
      <c r="D260" s="1"/>
      <c r="E260" s="1"/>
      <c r="F260" s="1"/>
      <c r="G260" s="1"/>
      <c r="H260" s="1"/>
      <c r="I260" s="1"/>
      <c r="J260" s="1"/>
      <c r="K260" s="1"/>
      <c r="L260" s="1"/>
      <c r="M260" s="1"/>
      <c r="N260" s="1"/>
      <c r="O260" s="1"/>
      <c r="P260" s="1"/>
      <c r="Q260" s="104"/>
      <c r="R260" s="104"/>
      <c r="S260" s="1"/>
      <c r="T260" s="1"/>
      <c r="U260" s="1"/>
      <c r="V260" s="1"/>
      <c r="W260" s="1"/>
      <c r="X260" s="1"/>
      <c r="Y260" s="1"/>
    </row>
    <row r="261" spans="1:25">
      <c r="A261" s="1"/>
      <c r="B261" s="1"/>
      <c r="C261" s="1"/>
      <c r="D261" s="1"/>
      <c r="E261" s="1"/>
      <c r="F261" s="1"/>
      <c r="G261" s="1"/>
      <c r="H261" s="1"/>
      <c r="I261" s="1"/>
      <c r="J261" s="1"/>
      <c r="K261" s="1"/>
      <c r="L261" s="1"/>
      <c r="M261" s="1"/>
      <c r="N261" s="1"/>
      <c r="O261" s="1"/>
      <c r="P261" s="1"/>
      <c r="Q261" s="104"/>
      <c r="R261" s="104"/>
      <c r="S261" s="1"/>
      <c r="T261" s="1"/>
      <c r="U261" s="1"/>
      <c r="V261" s="1"/>
      <c r="W261" s="1"/>
      <c r="X261" s="1"/>
      <c r="Y261" s="1"/>
    </row>
    <row r="262" spans="1:25">
      <c r="A262" s="1"/>
      <c r="B262" s="1"/>
      <c r="C262" s="1"/>
      <c r="D262" s="1"/>
      <c r="E262" s="1"/>
      <c r="F262" s="1"/>
      <c r="G262" s="1"/>
      <c r="H262" s="1"/>
      <c r="I262" s="1"/>
      <c r="J262" s="1"/>
      <c r="K262" s="1"/>
      <c r="L262" s="1"/>
      <c r="M262" s="1"/>
      <c r="N262" s="1"/>
      <c r="O262" s="1"/>
      <c r="P262" s="1"/>
      <c r="Q262" s="104"/>
      <c r="R262" s="104"/>
      <c r="S262" s="1"/>
      <c r="T262" s="1"/>
      <c r="U262" s="1"/>
      <c r="V262" s="1"/>
      <c r="W262" s="1"/>
      <c r="X262" s="1"/>
      <c r="Y262" s="1"/>
    </row>
    <row r="263" spans="1:25">
      <c r="A263" s="1"/>
      <c r="B263" s="1"/>
      <c r="C263" s="1"/>
      <c r="D263" s="1"/>
      <c r="E263" s="1"/>
      <c r="F263" s="1"/>
      <c r="G263" s="1"/>
      <c r="H263" s="1"/>
      <c r="I263" s="1"/>
      <c r="J263" s="1"/>
      <c r="K263" s="1"/>
      <c r="L263" s="1"/>
      <c r="M263" s="1"/>
      <c r="N263" s="1"/>
      <c r="O263" s="1"/>
      <c r="P263" s="1"/>
      <c r="Q263" s="104"/>
      <c r="R263" s="104"/>
      <c r="S263" s="1"/>
      <c r="T263" s="1"/>
      <c r="U263" s="1"/>
      <c r="V263" s="1"/>
      <c r="W263" s="1"/>
      <c r="X263" s="1"/>
      <c r="Y263" s="1"/>
    </row>
    <row r="264" spans="1:25">
      <c r="A264" s="1"/>
      <c r="B264" s="1"/>
      <c r="C264" s="1"/>
      <c r="D264" s="1"/>
      <c r="E264" s="1"/>
      <c r="F264" s="1"/>
      <c r="G264" s="1"/>
      <c r="H264" s="1"/>
      <c r="I264" s="1"/>
      <c r="J264" s="1"/>
      <c r="K264" s="1"/>
      <c r="L264" s="1"/>
      <c r="M264" s="1"/>
      <c r="N264" s="1"/>
      <c r="O264" s="1"/>
      <c r="P264" s="1"/>
      <c r="Q264" s="104"/>
      <c r="R264" s="104"/>
      <c r="S264" s="1"/>
      <c r="T264" s="1"/>
      <c r="U264" s="1"/>
      <c r="V264" s="1"/>
      <c r="W264" s="1"/>
      <c r="X264" s="1"/>
      <c r="Y264" s="1"/>
    </row>
    <row r="265" spans="1:25">
      <c r="A265" s="1"/>
      <c r="B265" s="1"/>
      <c r="C265" s="1"/>
      <c r="D265" s="1"/>
      <c r="E265" s="1"/>
      <c r="F265" s="1"/>
      <c r="G265" s="1"/>
      <c r="H265" s="1"/>
      <c r="I265" s="1"/>
      <c r="J265" s="1"/>
      <c r="K265" s="1"/>
      <c r="L265" s="1"/>
      <c r="M265" s="1"/>
      <c r="N265" s="1"/>
      <c r="O265" s="1"/>
      <c r="P265" s="1"/>
      <c r="Q265" s="104"/>
      <c r="R265" s="104"/>
      <c r="S265" s="1"/>
      <c r="T265" s="1"/>
      <c r="U265" s="1"/>
      <c r="V265" s="1"/>
      <c r="W265" s="1"/>
      <c r="X265" s="1"/>
      <c r="Y265" s="1"/>
    </row>
    <row r="266" spans="1:25">
      <c r="A266" s="1"/>
      <c r="B266" s="1"/>
      <c r="C266" s="1"/>
      <c r="D266" s="1"/>
      <c r="E266" s="1"/>
      <c r="F266" s="1"/>
      <c r="G266" s="1"/>
      <c r="H266" s="1"/>
      <c r="I266" s="1"/>
      <c r="J266" s="1"/>
      <c r="K266" s="1"/>
      <c r="L266" s="1"/>
      <c r="M266" s="1"/>
      <c r="N266" s="1"/>
      <c r="O266" s="1"/>
      <c r="P266" s="1"/>
      <c r="Q266" s="104"/>
      <c r="R266" s="104"/>
      <c r="S266" s="1"/>
      <c r="T266" s="1"/>
      <c r="U266" s="1"/>
      <c r="V266" s="1"/>
      <c r="W266" s="1"/>
      <c r="X266" s="1"/>
      <c r="Y266" s="1"/>
    </row>
    <row r="267" spans="1:25">
      <c r="A267" s="1"/>
      <c r="B267" s="1"/>
      <c r="C267" s="1"/>
      <c r="D267" s="1"/>
      <c r="E267" s="1"/>
      <c r="F267" s="1"/>
      <c r="G267" s="1"/>
      <c r="H267" s="1"/>
      <c r="I267" s="1"/>
      <c r="J267" s="1"/>
      <c r="K267" s="1"/>
      <c r="L267" s="1"/>
      <c r="M267" s="1"/>
      <c r="N267" s="1"/>
      <c r="O267" s="1"/>
      <c r="P267" s="1"/>
      <c r="Q267" s="104"/>
      <c r="R267" s="104"/>
      <c r="S267" s="1"/>
      <c r="T267" s="1"/>
      <c r="U267" s="1"/>
      <c r="V267" s="1"/>
      <c r="W267" s="1"/>
      <c r="X267" s="1"/>
      <c r="Y267" s="1"/>
    </row>
    <row r="268" spans="1:25">
      <c r="P268" s="1"/>
      <c r="Q268" s="104"/>
      <c r="R268" s="104"/>
      <c r="S268" s="1"/>
      <c r="T268" s="1"/>
      <c r="U268" s="1"/>
      <c r="V268" s="1"/>
      <c r="W268" s="1"/>
      <c r="X268" s="1"/>
      <c r="Y268" s="1"/>
    </row>
    <row r="269" spans="1:25">
      <c r="P269" s="1"/>
      <c r="Q269" s="104"/>
      <c r="R269" s="104"/>
      <c r="S269" s="1"/>
      <c r="T269" s="1"/>
      <c r="U269" s="1"/>
      <c r="V269" s="1"/>
      <c r="W269" s="1"/>
      <c r="X269" s="1"/>
      <c r="Y269" s="1"/>
    </row>
    <row r="270" spans="1:25">
      <c r="P270" s="1"/>
      <c r="Q270" s="104"/>
      <c r="R270" s="104"/>
      <c r="S270" s="1"/>
      <c r="T270" s="1"/>
      <c r="U270" s="1"/>
      <c r="V270" s="1"/>
      <c r="W270" s="1"/>
      <c r="X270" s="1"/>
      <c r="Y270" s="1"/>
    </row>
    <row r="271" spans="1:25">
      <c r="P271" s="1"/>
      <c r="Q271" s="104"/>
      <c r="R271" s="104"/>
      <c r="S271" s="1"/>
      <c r="T271" s="1"/>
      <c r="U271" s="1"/>
      <c r="V271" s="1"/>
      <c r="W271" s="1"/>
      <c r="X271" s="1"/>
      <c r="Y271" s="1"/>
    </row>
    <row r="272" spans="1:25">
      <c r="P272" s="1"/>
      <c r="Q272" s="104"/>
      <c r="R272" s="104"/>
      <c r="S272" s="1"/>
      <c r="T272" s="1"/>
      <c r="U272" s="1"/>
      <c r="V272" s="1"/>
      <c r="W272" s="1"/>
      <c r="X272" s="1"/>
      <c r="Y272" s="1"/>
    </row>
    <row r="273" spans="16:25">
      <c r="P273" s="1"/>
      <c r="Q273" s="104"/>
      <c r="R273" s="104"/>
      <c r="S273" s="1"/>
      <c r="T273" s="1"/>
      <c r="U273" s="1"/>
      <c r="V273" s="1"/>
      <c r="W273" s="1"/>
      <c r="X273" s="1"/>
      <c r="Y273" s="1"/>
    </row>
    <row r="274" spans="16:25">
      <c r="P274" s="1"/>
      <c r="Q274" s="104"/>
      <c r="R274" s="104"/>
      <c r="S274" s="1"/>
      <c r="T274" s="1"/>
      <c r="U274" s="1"/>
      <c r="V274" s="1"/>
      <c r="W274" s="1"/>
      <c r="X274" s="1"/>
      <c r="Y274" s="1"/>
    </row>
    <row r="275" spans="16:25">
      <c r="P275" s="1"/>
      <c r="Q275" s="104"/>
      <c r="R275" s="104"/>
      <c r="S275" s="1"/>
      <c r="T275" s="1"/>
      <c r="U275" s="1"/>
      <c r="V275" s="1"/>
      <c r="W275" s="1"/>
      <c r="X275" s="1"/>
      <c r="Y275" s="1"/>
    </row>
    <row r="276" spans="16:25">
      <c r="P276" s="1"/>
      <c r="Q276" s="104"/>
      <c r="R276" s="104"/>
      <c r="S276" s="1"/>
      <c r="T276" s="1"/>
      <c r="U276" s="1"/>
      <c r="V276" s="1"/>
      <c r="W276" s="1"/>
      <c r="X276" s="1"/>
      <c r="Y276" s="1"/>
    </row>
    <row r="277" spans="16:25">
      <c r="P277" s="1"/>
      <c r="Q277" s="104"/>
      <c r="R277" s="104"/>
      <c r="S277" s="1"/>
      <c r="T277" s="1"/>
      <c r="U277" s="1"/>
      <c r="V277" s="1"/>
      <c r="W277" s="1"/>
      <c r="X277" s="1"/>
      <c r="Y277" s="1"/>
    </row>
    <row r="278" spans="16:25">
      <c r="P278" s="1"/>
      <c r="Q278" s="104"/>
      <c r="R278" s="104"/>
      <c r="S278" s="1"/>
      <c r="T278" s="1"/>
      <c r="U278" s="1"/>
      <c r="V278" s="1"/>
      <c r="W278" s="1"/>
      <c r="X278" s="1"/>
      <c r="Y278" s="1"/>
    </row>
    <row r="279" spans="16:25">
      <c r="P279" s="1"/>
      <c r="Q279" s="104"/>
      <c r="R279" s="104"/>
      <c r="S279" s="1"/>
      <c r="T279" s="1"/>
      <c r="U279" s="1"/>
      <c r="V279" s="1"/>
      <c r="W279" s="1"/>
      <c r="X279" s="1"/>
      <c r="Y279" s="1"/>
    </row>
    <row r="280" spans="16:25">
      <c r="P280" s="1"/>
      <c r="Q280" s="104"/>
      <c r="R280" s="104"/>
      <c r="S280" s="1"/>
      <c r="T280" s="1"/>
      <c r="U280" s="1"/>
      <c r="V280" s="1"/>
      <c r="W280" s="1"/>
      <c r="X280" s="1"/>
      <c r="Y280" s="1"/>
    </row>
    <row r="281" spans="16:25">
      <c r="P281" s="1"/>
      <c r="Q281" s="104"/>
      <c r="R281" s="104"/>
      <c r="S281" s="1"/>
      <c r="T281" s="1"/>
      <c r="U281" s="1"/>
      <c r="V281" s="1"/>
      <c r="W281" s="1"/>
      <c r="X281" s="1"/>
      <c r="Y281" s="1"/>
    </row>
    <row r="282" spans="16:25">
      <c r="P282" s="1"/>
      <c r="Q282" s="104"/>
      <c r="R282" s="104"/>
      <c r="S282" s="1"/>
      <c r="T282" s="1"/>
      <c r="U282" s="1"/>
      <c r="V282" s="1"/>
      <c r="W282" s="1"/>
      <c r="X282" s="1"/>
      <c r="Y282" s="1"/>
    </row>
    <row r="283" spans="16:25">
      <c r="P283" s="1"/>
      <c r="Q283" s="104"/>
      <c r="R283" s="104"/>
      <c r="S283" s="1"/>
      <c r="T283" s="1"/>
      <c r="U283" s="1"/>
      <c r="V283" s="1"/>
      <c r="W283" s="1"/>
      <c r="X283" s="1"/>
      <c r="Y283" s="1"/>
    </row>
    <row r="284" spans="16:25">
      <c r="P284" s="1"/>
      <c r="Q284" s="104"/>
      <c r="R284" s="104"/>
      <c r="S284" s="1"/>
      <c r="T284" s="1"/>
      <c r="U284" s="1"/>
      <c r="V284" s="1"/>
      <c r="W284" s="1"/>
      <c r="X284" s="1"/>
      <c r="Y284" s="1"/>
    </row>
    <row r="285" spans="16:25">
      <c r="P285" s="1"/>
      <c r="Q285" s="104"/>
      <c r="R285" s="104"/>
      <c r="S285" s="1"/>
      <c r="T285" s="1"/>
      <c r="U285" s="1"/>
      <c r="V285" s="1"/>
      <c r="W285" s="1"/>
      <c r="X285" s="1"/>
      <c r="Y285" s="1"/>
    </row>
    <row r="286" spans="16:25">
      <c r="P286" s="1"/>
      <c r="Q286" s="104"/>
      <c r="R286" s="104"/>
      <c r="S286" s="1"/>
      <c r="T286" s="1"/>
      <c r="U286" s="1"/>
      <c r="V286" s="1"/>
      <c r="W286" s="1"/>
      <c r="X286" s="1"/>
      <c r="Y286" s="1"/>
    </row>
    <row r="287" spans="16:25">
      <c r="P287" s="1"/>
      <c r="Q287" s="104"/>
      <c r="R287" s="104"/>
      <c r="S287" s="1"/>
      <c r="T287" s="1"/>
      <c r="U287" s="1"/>
      <c r="V287" s="1"/>
      <c r="W287" s="1"/>
      <c r="X287" s="1"/>
      <c r="Y287" s="1"/>
    </row>
    <row r="288" spans="16:25">
      <c r="P288" s="1"/>
      <c r="Q288" s="104"/>
      <c r="R288" s="104"/>
      <c r="S288" s="1"/>
      <c r="T288" s="1"/>
      <c r="U288" s="1"/>
      <c r="V288" s="1"/>
      <c r="W288" s="1"/>
      <c r="X288" s="1"/>
      <c r="Y288" s="1"/>
    </row>
    <row r="289" spans="16:25">
      <c r="P289" s="1"/>
      <c r="Q289" s="104"/>
      <c r="R289" s="104"/>
      <c r="S289" s="1"/>
      <c r="T289" s="1"/>
      <c r="U289" s="1"/>
      <c r="V289" s="1"/>
      <c r="W289" s="1"/>
      <c r="X289" s="1"/>
      <c r="Y289" s="1"/>
    </row>
    <row r="290" spans="16:25">
      <c r="P290" s="1"/>
      <c r="Q290" s="104"/>
      <c r="R290" s="104"/>
      <c r="S290" s="1"/>
      <c r="T290" s="1"/>
      <c r="U290" s="1"/>
      <c r="V290" s="1"/>
      <c r="W290" s="1"/>
      <c r="X290" s="1"/>
      <c r="Y290" s="1"/>
    </row>
    <row r="291" spans="16:25">
      <c r="P291" s="1"/>
      <c r="Q291" s="104"/>
      <c r="R291" s="104"/>
      <c r="S291" s="1"/>
      <c r="T291" s="1"/>
      <c r="U291" s="1"/>
      <c r="V291" s="1"/>
      <c r="W291" s="1"/>
      <c r="X291" s="1"/>
      <c r="Y291" s="1"/>
    </row>
    <row r="292" spans="16:25">
      <c r="P292" s="1"/>
      <c r="Q292" s="104"/>
      <c r="R292" s="104"/>
      <c r="S292" s="1"/>
      <c r="T292" s="1"/>
      <c r="U292" s="1"/>
      <c r="V292" s="1"/>
      <c r="W292" s="1"/>
      <c r="X292" s="1"/>
      <c r="Y292" s="1"/>
    </row>
  </sheetData>
  <mergeCells count="3">
    <mergeCell ref="A1:L1"/>
    <mergeCell ref="A2:L2"/>
    <mergeCell ref="S17:S28"/>
  </mergeCells>
  <hyperlinks>
    <hyperlink ref="H5" r:id="rId1" display="https://aec-excel.officeapps.live.com/:w:/r/sites/SA-Project-Grant-RCR/Shared Documents/02-PM Docs/02- MoM/02-Outgoing/00. Client Meetings/03. AMANAH/260216-55007720-PR- Amanah Stakeholder Engagement and Data Validation (EN).docx?d=w385edf31370d4d74907d3a2e798f4e34&amp;csf=1&amp;web=1&amp;e=ec9Z19" xr:uid="{50DF4807-F357-4384-82AC-D26CDCEF88B5}"/>
    <hyperlink ref="H11" r:id="rId2" display="https://aec-excel.officeapps.live.com/:w:/r/sites/SA-Project-Grant-RCR/Shared Documents/02-PM Docs/02- MoM/02-Outgoing/00. Client Meetings/04. MOJ/260225-55007720-MB-MOJ Coordination Meeting (EN).docx?d=w5dcc8904ef8a4fa990e51a7c67142970&amp;csf=1&amp;web=1&amp;e=jaPVgj" xr:uid="{4556D019-6986-4925-A93F-A444954031CF}"/>
    <hyperlink ref="H17" r:id="rId3" display="https://aec-excel.officeapps.live.com/:w:/r/sites/SA-Project-Grant-RCR/Shared Documents/02-PM Docs/02- MoM/02-Outgoing/00. Client Meetings/05. State Properties General Authority (SPGA)/260303-55007720-MB-SPGA Coordination Meeting (EN).docx?d=w954ab0d40eba4b239b390cacee6adc9a&amp;csf=1&amp;web=1&amp;e=46vgUf" xr:uid="{E4AEC9AE-25CF-4260-AC39-A4B924BBFE8D}"/>
    <hyperlink ref="H23" r:id="rId4" display="https://wsponlineare.sharepoint.com/:w:/r/sites/SA-Project-Grant-RCR/Shared Documents/02-PM Docs/02- MoM/02-Outgoing/00. Client Meetings/06. MIM/260225-55007720-MB-MIMCoordination Meeting.docx?d=w205fc03470964c928752fdda6cffe0fc&amp;csf=1&amp;web=1&amp;e=VZLZzS" xr:uid="{5841342F-36F2-43E7-9E58-58BDCBE3D229}"/>
    <hyperlink ref="H29" r:id="rId5" display="https://wsponlineare.sharepoint.com/:b:/r/sites/SA-Project-Grant-RCR/Shared Documents/02-PM Docs/02- MoM/02-Outgoing/00. Client Meetings/07. Imam Abdulaziz Bin Muhammad Royal Reserve/260504-55007720-PR-Project East Grant Coordination , alignment with the Imam Abdulaziz bin Muhammad Royal Reserve %E2%80%93 East Riyadh Grants Project.pdf?csf=1&amp;web=1&amp;e=H3TG02" xr:uid="{D9A8FDAC-FADD-4D7F-8908-17DC987DA3C7}"/>
    <hyperlink ref="H35" r:id="rId6" display="https://wsponlineare.sharepoint.com/:b:/r/sites/SA-Project-Grant-RCR/Shared Documents/02-PM Docs/02- MoM/02-Outgoing/00. Client Meetings/08. MEWA/260505-55007720-MB-MEWA-MoM-.pdf?csf=1&amp;web=1&amp;e=HAUrkG" xr:uid="{0A3FA04F-088A-42A6-A09F-44598632268C}"/>
    <hyperlink ref="H29:H34" r:id="rId7" display="https://wsponlineare.sharepoint.com/:b:/r/sites/SA-Project-Grant-RCR/Shared%20Documents/02-PM%20Docs/02-%20MoM/02-Outgoing/00.%20Client%20Meetings/07.%20Imam%20Abdulaziz%20Bin%20Muhammad%20Royal%20Reserve/260504-55007720-PR-Project%20East%20Grant%20Coordination%20,%20alignment%20with%20the%20Imam%20Abdulaziz%20bin%20Muhammad%20Royal%20Reserve%20%E2%80%93%20East%20Riyadh%20Grants%20Project.pdf?csf=1&amp;web=1&amp;e=H3TG02" xr:uid="{8605CFA8-E3EF-462A-A064-B9E2BC2ADA0B}"/>
    <hyperlink ref="H41" r:id="rId8" display="260511-55007720-PR-Project East Grant Coordination and Alignment Meeting – East Riyadh Grant Project – Ministry of Energy.docx" xr:uid="{1B5976E3-BE6D-4560-A167-9C924E315244}"/>
    <hyperlink ref="H41:H46" r:id="rId9" display="https://wsponlineare.sharepoint.com/:w:/r/sites/SA-Project-Grant-RCR/_layouts/15/Doc.aspx?sourcedoc=%7B3F7293F7-F397-41A5-B207-4D0D4CF09274%7D&amp;file=260511-55007720-PR-Project%20East%20Grant%20Coordination%20and%20Alignment%20Meeting%20%25u2013%20East%20Riyadh%20Grant%20Project%20%25u2013%20Ministry%20of%20Energy.docx&amp;action=default&amp;mobileredirect=true" xr:uid="{0A946957-4F4D-4523-9653-4CEA0711DE28}"/>
    <hyperlink ref="H53:H58" r:id="rId10" display="https://wsponlineare.sharepoint.com/:w:/r/sites/SA-Project-Grant-RCR/_layouts/15/Doc.aspx?sourcedoc=%7BC679ADB2-2B7E-46CB-96B2-68AC75FD8BC9%7D&amp;file=260513-55007720-PR-Project%20East%20Grant%20Coordination%20and%20Alignment%20Meeting%20%25u2013%20East%20Riyadh%20Grant%20Project%20%25u2013%20Ministry%20of%20Transport%20and%20Logistics%20Services.docx&amp;action=default&amp;mobileredirect=true" xr:uid="{636F7B2E-FB89-42C1-A474-81D465C1B67A}"/>
    <hyperlink ref="H59:H64" r:id="rId11" display="https://wsponlineare.sharepoint.com/:w:/r/sites/SA-Project-Grant-RCR/_layouts/15/Doc.aspx?sourcedoc=%7B2A2A3704-6610-40DD-8A99-26379BECA73E%7D&amp;file=260514-55007720-PR-Project%20East%20Grant%20Coordination%20and%20Alignment%20Meeting%20-%20Ministry%20of%20Municipalities%20and%20Housing.docx&amp;action=default&amp;mobileredirect=true" xr:uid="{BC7D2348-D156-4252-8440-ABE659E01ED3}"/>
    <hyperlink ref="H65:H70" r:id="rId12" display="https://wsponlineare.sharepoint.com/:w:/r/sites/SA-Project-Grant-RCR/_layouts/15/Doc.aspx?sourcedoc=%7B26526378-0E57-44DF-861B-C3631B2097A9%7D&amp;file=260518-55007720-PR-Project%20East%20Grant%20Coordination%20and%20Alignment%20Meeting%20%25u2013%20East%20Riyadh%20Grants%20Project%20%25u2013%20Wadi%20Al-Sulai.docx&amp;action=default&amp;mobileredirect=true" xr:uid="{F3E2AAF8-4184-4279-9055-866BFACFD77E}"/>
    <hyperlink ref="H71:H76" r:id="rId13" display="https://wsponlineare.sharepoint.com/sites/SA-Project-Grant-RCR/Shared%20Documents/Forms/AllItems.aspx?id=%2Fsites%2FSA%2DProject%2DGrant%2DRCR%2FShared%20Documents%2F02%2DPM%20Docs%2F02%2D%20MoM%2F02%2DOutgoing%2F00%2E%20Client%20Meetings%2F03%2E%20AMANAH%2F260618%2D55007720%2DPR%2DProject%20East%20Grant%20%2DTechnical%20Meeting%20%E2%80%93%20East%20Riyadh%20Grant%20Project%20%E2%80%93%20Riyadh%20Municipality%20%28General%20Directorate%20of%20Stormwater%20Networks%5Fv2%201%2Epdf&amp;parent=%2Fsites%2FSA%2DProject%2DGrant%2DRCR%2FShared%20Documents%2F02%2DPM%20Docs%2F02%2D%20MoM%2F02%2DOutgoing%2F00%2E%20Client%20Meetings%2F03%2E%20AMANAH" xr:uid="{CE5F5C2B-5BBE-475D-A91F-A157B80D5260}"/>
    <hyperlink ref="H83:H88" r:id="rId14" display="https://wsponlineare.sharepoint.com/:w:/r/sites/SA-Project-Grant-RCR/_layouts/15/Doc.aspx?sourcedoc=%7B3F7293F7-F397-41A5-B207-4D0D4CF09274%7D&amp;file=260511-55007720-PR-Project%20East%20Grant%20Coordination%20and%20Alignment%20Meeting%20%25u2013%20East%20Riyadh%20Grant%20Project%20%25u2013%20Ministry%20of%20Energy.docx&amp;action=default&amp;mobileredirect=true" xr:uid="{7711870B-0490-496D-A95D-51EB910764DE}"/>
    <hyperlink ref="H47" r:id="rId15" xr:uid="{D905A4DE-F015-4F32-AC71-4B64E2D6E3F2}"/>
    <hyperlink ref="H77:H82" r:id="rId16" display="https://wsponlineare.sharepoint.com/:w:/r/sites/SA-Project-Grant-RCR/_layouts/15/Doc.aspx?sourcedoc=%7BF59CD891-8130-4BF7-B8E8-C6816561469A%7D&amp;file=260512-55007720-PR-Project%20East%20Grant%20Coordination%20and%20Alignment%20Meeting%20%20East%20Riyadh%20Grant%20Project%20%20Riyadh%20Infrastructure%20Projects%20Centre%20(002).docx&amp;fromShare=true&amp;action=default&amp;mobileredirect=true" xr:uid="{838518FD-3047-4A54-ACC8-D11F943C8AF7}"/>
  </hyperlinks>
  <pageMargins left="0.7" right="0.7" top="0.75" bottom="0.75" header="0.3" footer="0.3"/>
  <tableParts count="1">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93"/>
  <sheetViews>
    <sheetView zoomScale="70" zoomScaleNormal="70" workbookViewId="0">
      <selection activeCell="G13" sqref="G13"/>
    </sheetView>
  </sheetViews>
  <sheetFormatPr defaultRowHeight="14.25"/>
  <cols>
    <col min="1" max="1" width="10" customWidth="1"/>
    <col min="2" max="2" width="45" customWidth="1"/>
    <col min="3" max="3" width="30" customWidth="1"/>
    <col min="4" max="4" width="42" hidden="1" customWidth="1"/>
    <col min="5" max="6" width="14" customWidth="1"/>
    <col min="7" max="7" width="16" customWidth="1"/>
    <col min="8" max="8" width="42" hidden="1" customWidth="1"/>
    <col min="9" max="10" width="50" customWidth="1"/>
    <col min="11" max="11" width="24" hidden="1" customWidth="1"/>
    <col min="12" max="12" width="18" hidden="1" customWidth="1"/>
    <col min="13" max="13" width="16" hidden="1" customWidth="1"/>
    <col min="14" max="14" width="34" hidden="1" customWidth="1"/>
  </cols>
  <sheetData>
    <row r="1" spans="1:26" ht="27.95" customHeight="1">
      <c r="A1" s="228" t="s">
        <v>928</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929</v>
      </c>
      <c r="B4" s="2" t="s">
        <v>930</v>
      </c>
      <c r="C4" s="2" t="s">
        <v>931</v>
      </c>
      <c r="D4" s="2" t="s">
        <v>932</v>
      </c>
      <c r="E4" s="6" t="s">
        <v>933</v>
      </c>
      <c r="F4" s="2" t="s">
        <v>934</v>
      </c>
      <c r="G4" s="2" t="s">
        <v>935</v>
      </c>
      <c r="H4" s="6" t="s">
        <v>936</v>
      </c>
      <c r="I4" s="6" t="s">
        <v>937</v>
      </c>
      <c r="J4" s="2" t="s">
        <v>938</v>
      </c>
      <c r="K4" s="2" t="s">
        <v>939</v>
      </c>
      <c r="L4" s="2" t="s">
        <v>940</v>
      </c>
      <c r="M4" s="2" t="s">
        <v>240</v>
      </c>
      <c r="N4" s="2" t="s">
        <v>941</v>
      </c>
      <c r="O4" s="1"/>
      <c r="P4" s="1"/>
      <c r="Q4" s="1"/>
      <c r="R4" s="1"/>
      <c r="S4" s="1"/>
      <c r="T4" s="1"/>
      <c r="U4" s="1"/>
      <c r="V4" s="1"/>
      <c r="W4" s="1"/>
      <c r="X4" s="1"/>
      <c r="Y4" s="1"/>
      <c r="Z4" s="1"/>
    </row>
    <row r="5" spans="1:26" ht="30" customHeight="1">
      <c r="A5" s="3" t="s">
        <v>942</v>
      </c>
      <c r="B5" s="5" t="s">
        <v>943</v>
      </c>
      <c r="C5" s="3" t="s">
        <v>944</v>
      </c>
      <c r="D5" s="3" t="s">
        <v>945</v>
      </c>
      <c r="E5" s="3" t="s">
        <v>44</v>
      </c>
      <c r="F5" s="3" t="s">
        <v>44</v>
      </c>
      <c r="G5" s="3" t="s">
        <v>45</v>
      </c>
      <c r="H5" s="3" t="s">
        <v>946</v>
      </c>
      <c r="I5" s="3" t="s">
        <v>947</v>
      </c>
      <c r="J5" s="3" t="s">
        <v>948</v>
      </c>
      <c r="K5" s="3" t="s">
        <v>77</v>
      </c>
      <c r="L5" s="4">
        <v>46230</v>
      </c>
      <c r="M5" s="3" t="s">
        <v>949</v>
      </c>
      <c r="N5" s="3" t="s">
        <v>950</v>
      </c>
      <c r="O5" s="1"/>
      <c r="P5" s="1"/>
      <c r="Q5" s="1"/>
      <c r="R5" s="1"/>
      <c r="S5" s="1"/>
      <c r="T5" s="1"/>
      <c r="U5" s="1"/>
      <c r="V5" s="1"/>
      <c r="W5" s="1"/>
      <c r="X5" s="1"/>
      <c r="Y5" s="1"/>
      <c r="Z5" s="1"/>
    </row>
    <row r="6" spans="1:26" ht="33.6" customHeight="1">
      <c r="A6" s="3" t="s">
        <v>951</v>
      </c>
      <c r="B6" s="3" t="s">
        <v>952</v>
      </c>
      <c r="C6" s="5" t="s">
        <v>953</v>
      </c>
      <c r="D6" s="3" t="s">
        <v>954</v>
      </c>
      <c r="E6" s="3" t="s">
        <v>44</v>
      </c>
      <c r="F6" s="3" t="s">
        <v>44</v>
      </c>
      <c r="G6" s="3" t="s">
        <v>45</v>
      </c>
      <c r="H6" s="3" t="s">
        <v>955</v>
      </c>
      <c r="I6" s="3" t="s">
        <v>956</v>
      </c>
      <c r="J6" s="3" t="s">
        <v>957</v>
      </c>
      <c r="K6" s="3" t="s">
        <v>958</v>
      </c>
      <c r="L6" s="4">
        <v>46252</v>
      </c>
      <c r="M6" s="3" t="s">
        <v>949</v>
      </c>
      <c r="N6" s="3" t="s">
        <v>959</v>
      </c>
      <c r="O6" s="1"/>
      <c r="P6" s="1"/>
      <c r="Q6" s="1"/>
      <c r="R6" s="1"/>
      <c r="S6" s="1"/>
      <c r="T6" s="1"/>
      <c r="U6" s="1"/>
      <c r="V6" s="1"/>
      <c r="W6" s="1"/>
      <c r="X6" s="1"/>
      <c r="Y6" s="1"/>
      <c r="Z6" s="1"/>
    </row>
    <row r="7" spans="1:26" ht="51" customHeight="1">
      <c r="A7" s="3" t="s">
        <v>960</v>
      </c>
      <c r="B7" s="87" t="s">
        <v>961</v>
      </c>
      <c r="C7" s="3" t="s">
        <v>962</v>
      </c>
      <c r="D7" s="3" t="s">
        <v>963</v>
      </c>
      <c r="E7" s="3" t="s">
        <v>101</v>
      </c>
      <c r="F7" s="3" t="s">
        <v>44</v>
      </c>
      <c r="G7" s="3" t="s">
        <v>44</v>
      </c>
      <c r="H7" s="3" t="s">
        <v>964</v>
      </c>
      <c r="I7" s="5" t="s">
        <v>965</v>
      </c>
      <c r="J7" s="3" t="s">
        <v>966</v>
      </c>
      <c r="K7" s="3" t="s">
        <v>249</v>
      </c>
      <c r="L7" s="4">
        <v>46265</v>
      </c>
      <c r="M7" s="3" t="s">
        <v>949</v>
      </c>
      <c r="N7" s="3" t="s">
        <v>967</v>
      </c>
      <c r="O7" s="1"/>
      <c r="P7" s="1"/>
      <c r="Q7" s="1"/>
      <c r="R7" s="1"/>
      <c r="S7" s="1"/>
      <c r="T7" s="1"/>
      <c r="U7" s="1"/>
      <c r="V7" s="1"/>
      <c r="W7" s="1"/>
      <c r="X7" s="1"/>
      <c r="Y7" s="1"/>
      <c r="Z7" s="1"/>
    </row>
    <row r="8" spans="1:26" ht="30" hidden="1" customHeight="1">
      <c r="A8" s="3" t="s">
        <v>968</v>
      </c>
      <c r="B8" s="3" t="s">
        <v>969</v>
      </c>
      <c r="C8" s="3" t="s">
        <v>970</v>
      </c>
      <c r="D8" s="3" t="s">
        <v>971</v>
      </c>
      <c r="E8" s="3" t="s">
        <v>101</v>
      </c>
      <c r="F8" s="3" t="s">
        <v>101</v>
      </c>
      <c r="G8" s="3" t="s">
        <v>101</v>
      </c>
      <c r="H8" s="3" t="s">
        <v>972</v>
      </c>
      <c r="I8" s="3" t="s">
        <v>973</v>
      </c>
      <c r="J8" s="3" t="s">
        <v>974</v>
      </c>
      <c r="K8" s="3" t="s">
        <v>250</v>
      </c>
      <c r="L8" s="4">
        <v>46219</v>
      </c>
      <c r="M8" s="3" t="s">
        <v>949</v>
      </c>
      <c r="N8" s="3" t="s">
        <v>975</v>
      </c>
      <c r="O8" s="1"/>
      <c r="P8" s="1"/>
      <c r="Q8" s="1"/>
      <c r="R8" s="1"/>
      <c r="S8" s="1"/>
      <c r="T8" s="1"/>
      <c r="U8" s="1"/>
      <c r="V8" s="1"/>
      <c r="W8" s="1"/>
      <c r="X8" s="1"/>
      <c r="Y8" s="1"/>
      <c r="Z8" s="1"/>
    </row>
    <row r="9" spans="1:26" ht="30" customHeight="1">
      <c r="A9" s="3" t="s">
        <v>976</v>
      </c>
      <c r="B9" s="5" t="s">
        <v>977</v>
      </c>
      <c r="C9" s="3" t="s">
        <v>97</v>
      </c>
      <c r="D9" s="3" t="s">
        <v>978</v>
      </c>
      <c r="E9" s="3" t="s">
        <v>101</v>
      </c>
      <c r="F9" s="3" t="s">
        <v>44</v>
      </c>
      <c r="G9" s="3" t="s">
        <v>44</v>
      </c>
      <c r="H9" s="3" t="s">
        <v>979</v>
      </c>
      <c r="I9" s="3" t="s">
        <v>980</v>
      </c>
      <c r="J9" s="3" t="s">
        <v>981</v>
      </c>
      <c r="K9" s="3" t="s">
        <v>982</v>
      </c>
      <c r="L9" s="4">
        <v>46246</v>
      </c>
      <c r="M9" s="3" t="s">
        <v>949</v>
      </c>
      <c r="N9" s="3" t="s">
        <v>983</v>
      </c>
      <c r="O9" s="1"/>
      <c r="P9" s="1"/>
      <c r="Q9" s="1"/>
      <c r="R9" s="1"/>
      <c r="S9" s="1"/>
      <c r="T9" s="1"/>
      <c r="U9" s="1"/>
      <c r="V9" s="1"/>
      <c r="W9" s="1"/>
      <c r="X9" s="1"/>
      <c r="Y9" s="1"/>
      <c r="Z9" s="1"/>
    </row>
    <row r="10" spans="1:26" ht="30" hidden="1" customHeight="1">
      <c r="A10" s="3" t="s">
        <v>984</v>
      </c>
      <c r="B10" s="3" t="s">
        <v>985</v>
      </c>
      <c r="C10" s="3" t="s">
        <v>986</v>
      </c>
      <c r="D10" s="3" t="s">
        <v>987</v>
      </c>
      <c r="E10" s="3" t="s">
        <v>101</v>
      </c>
      <c r="F10" s="3" t="s">
        <v>44</v>
      </c>
      <c r="G10" s="3" t="s">
        <v>101</v>
      </c>
      <c r="H10" s="3" t="s">
        <v>988</v>
      </c>
      <c r="I10" s="3" t="s">
        <v>980</v>
      </c>
      <c r="J10" s="3" t="s">
        <v>981</v>
      </c>
      <c r="K10" s="3" t="s">
        <v>250</v>
      </c>
      <c r="L10" s="4">
        <v>46223</v>
      </c>
      <c r="M10" s="3" t="s">
        <v>949</v>
      </c>
      <c r="N10" s="3" t="s">
        <v>989</v>
      </c>
      <c r="O10" s="1"/>
      <c r="P10" s="1"/>
      <c r="Q10" s="1"/>
      <c r="R10" s="1"/>
      <c r="S10" s="1"/>
      <c r="T10" s="1"/>
      <c r="U10" s="1"/>
      <c r="V10" s="1"/>
      <c r="W10" s="1"/>
      <c r="X10" s="1"/>
      <c r="Y10" s="1"/>
      <c r="Z10" s="1"/>
    </row>
    <row r="11" spans="1:26" ht="30" customHeight="1">
      <c r="A11" s="5" t="s">
        <v>984</v>
      </c>
      <c r="B11" s="103" t="s">
        <v>990</v>
      </c>
      <c r="C11" s="5" t="s">
        <v>991</v>
      </c>
      <c r="D11" s="3"/>
      <c r="E11" s="3" t="s">
        <v>101</v>
      </c>
      <c r="F11" s="3" t="s">
        <v>101</v>
      </c>
      <c r="G11" s="3" t="s">
        <v>101</v>
      </c>
      <c r="H11" s="3"/>
      <c r="I11" s="5" t="s">
        <v>992</v>
      </c>
      <c r="J11" s="3" t="s">
        <v>993</v>
      </c>
      <c r="K11" s="3"/>
      <c r="L11" s="4"/>
      <c r="M11" s="3"/>
      <c r="N11" s="3"/>
      <c r="O11" s="1"/>
      <c r="P11" s="1"/>
      <c r="Q11" s="1"/>
      <c r="R11" s="1"/>
      <c r="S11" s="1"/>
      <c r="T11" s="1"/>
      <c r="U11" s="1"/>
      <c r="V11" s="1"/>
      <c r="W11" s="1"/>
      <c r="X11" s="1"/>
      <c r="Y11" s="1"/>
      <c r="Z11" s="1"/>
    </row>
    <row r="12" spans="1:26" ht="30" customHeight="1">
      <c r="A12" s="5" t="s">
        <v>994</v>
      </c>
      <c r="B12" s="3" t="s">
        <v>995</v>
      </c>
      <c r="C12" s="3" t="s">
        <v>996</v>
      </c>
      <c r="D12" s="3" t="s">
        <v>997</v>
      </c>
      <c r="E12" s="3" t="s">
        <v>44</v>
      </c>
      <c r="F12" s="3" t="s">
        <v>101</v>
      </c>
      <c r="G12" s="3" t="s">
        <v>101</v>
      </c>
      <c r="H12" s="3" t="s">
        <v>998</v>
      </c>
      <c r="I12" s="3" t="s">
        <v>999</v>
      </c>
      <c r="J12" s="3" t="s">
        <v>1000</v>
      </c>
      <c r="K12" s="3" t="s">
        <v>250</v>
      </c>
      <c r="L12" s="4">
        <v>46227</v>
      </c>
      <c r="M12" s="3" t="s">
        <v>949</v>
      </c>
      <c r="N12" s="3" t="s">
        <v>1001</v>
      </c>
      <c r="O12" s="1"/>
      <c r="P12" s="1"/>
      <c r="Q12" s="1"/>
      <c r="R12" s="1"/>
      <c r="S12" s="1"/>
      <c r="T12" s="1"/>
      <c r="U12" s="1"/>
      <c r="V12" s="1"/>
      <c r="W12" s="1"/>
      <c r="X12" s="1"/>
      <c r="Y12" s="1"/>
      <c r="Z12" s="1"/>
    </row>
    <row r="13" spans="1:26" ht="38.25">
      <c r="A13" s="5" t="s">
        <v>1002</v>
      </c>
      <c r="B13" s="3" t="s">
        <v>1003</v>
      </c>
      <c r="C13" s="3" t="s">
        <v>148</v>
      </c>
      <c r="D13" s="3" t="s">
        <v>1004</v>
      </c>
      <c r="E13" s="3" t="s">
        <v>44</v>
      </c>
      <c r="F13" s="3" t="s">
        <v>44</v>
      </c>
      <c r="G13" s="3" t="s">
        <v>45</v>
      </c>
      <c r="H13" s="3" t="s">
        <v>1005</v>
      </c>
      <c r="I13" s="3" t="s">
        <v>1006</v>
      </c>
      <c r="J13" s="3" t="s">
        <v>1007</v>
      </c>
      <c r="K13" s="3"/>
      <c r="L13" s="4"/>
      <c r="M13" s="3" t="s">
        <v>949</v>
      </c>
      <c r="N13" s="3" t="s">
        <v>1008</v>
      </c>
      <c r="O13" s="107"/>
      <c r="P13" s="106"/>
      <c r="Q13" s="106"/>
      <c r="R13" s="107"/>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row>
  </sheetData>
  <mergeCells count="2">
    <mergeCell ref="A1:L1"/>
    <mergeCell ref="A2:L2"/>
  </mergeCells>
  <phoneticPr fontId="30" type="noConversion"/>
  <conditionalFormatting sqref="G5:G13">
    <cfRule type="expression" dxfId="29" priority="1">
      <formula>G5="Critical"</formula>
    </cfRule>
    <cfRule type="expression" dxfId="28" priority="2">
      <formula>G5="High"</formula>
    </cfRule>
    <cfRule type="expression" dxfId="27" priority="3">
      <formula>G5="Medium"</formula>
    </cfRule>
  </conditionalFormatting>
  <conditionalFormatting sqref="M5:M13">
    <cfRule type="expression" dxfId="26" priority="4">
      <formula>ISNUMBER(SEARCH("Delayed",M5))</formula>
    </cfRule>
    <cfRule type="expression" dxfId="25" priority="5">
      <formula>ISNUMBER(SEARCH("Escalated",M5))</formula>
    </cfRule>
    <cfRule type="expression" dxfId="24" priority="6">
      <formula>ISNUMBER(SEARCH("Completed",M5))</formula>
    </cfRule>
    <cfRule type="expression" dxfId="23" priority="7">
      <formula>ISNUMBER(SEARCH("Closed",M5))</formula>
    </cfRule>
    <cfRule type="expression" dxfId="22" priority="8">
      <formula>ISNUMBER(SEARCH("Information Required",M5))</formula>
    </cfRule>
  </conditionalFormatting>
  <dataValidations count="1">
    <dataValidation type="list" sqref="M5:M13" xr:uid="{00000000-0002-0000-0500-000000000000}">
      <formula1>"Not Started,Planned,Requested,Scheduled,In Progress,Open - verify status,Completed,Closed,Delayed,Escalated,Information Required"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2FEF-4A68-4747-8732-AAA2109F31C8}">
  <dimension ref="A1:J118"/>
  <sheetViews>
    <sheetView zoomScale="40" zoomScaleNormal="40" workbookViewId="0">
      <selection activeCell="G6" sqref="G6"/>
    </sheetView>
  </sheetViews>
  <sheetFormatPr defaultRowHeight="14.25"/>
  <cols>
    <col min="1" max="1" width="24.125" customWidth="1"/>
    <col min="2" max="2" width="6.5" style="14" customWidth="1"/>
    <col min="3" max="3" width="37.625" style="14" bestFit="1" customWidth="1"/>
    <col min="4" max="4" width="30.125" style="14" customWidth="1"/>
    <col min="5" max="5" width="15.875" style="14" hidden="1" customWidth="1"/>
    <col min="6" max="6" width="9.625" style="14" hidden="1" customWidth="1"/>
    <col min="7" max="7" width="37.125" style="14" bestFit="1" customWidth="1"/>
    <col min="8" max="8" width="36.625" style="14" bestFit="1" customWidth="1"/>
    <col min="9" max="9" width="53.375" customWidth="1"/>
  </cols>
  <sheetData>
    <row r="1" spans="1:10" ht="30">
      <c r="A1" s="217" t="s">
        <v>1009</v>
      </c>
      <c r="B1" s="218" t="s">
        <v>1010</v>
      </c>
      <c r="C1" s="218" t="s">
        <v>1011</v>
      </c>
      <c r="D1" s="218" t="s">
        <v>1012</v>
      </c>
      <c r="E1" s="218" t="s">
        <v>1013</v>
      </c>
      <c r="F1" s="218" t="s">
        <v>1014</v>
      </c>
      <c r="G1" s="218" t="s">
        <v>1015</v>
      </c>
      <c r="H1" s="218" t="s">
        <v>1016</v>
      </c>
      <c r="I1" s="218" t="s">
        <v>1017</v>
      </c>
      <c r="J1" s="218" t="s">
        <v>811</v>
      </c>
    </row>
    <row r="2" spans="1:10" ht="71.25">
      <c r="A2" s="215" t="s">
        <v>1018</v>
      </c>
      <c r="B2" s="9">
        <v>1</v>
      </c>
      <c r="C2" s="8" t="s">
        <v>1019</v>
      </c>
      <c r="D2" s="59" t="s">
        <v>1020</v>
      </c>
      <c r="E2" s="101">
        <v>46226</v>
      </c>
      <c r="F2" s="8"/>
      <c r="G2" s="8" t="s">
        <v>1021</v>
      </c>
      <c r="H2" s="8" t="s">
        <v>1022</v>
      </c>
      <c r="I2" t="s">
        <v>1023</v>
      </c>
    </row>
    <row r="3" spans="1:10" ht="71.25">
      <c r="A3" s="215" t="s">
        <v>1018</v>
      </c>
      <c r="B3" s="9">
        <v>2</v>
      </c>
      <c r="C3" s="8" t="s">
        <v>1024</v>
      </c>
      <c r="D3" s="59" t="s">
        <v>1025</v>
      </c>
      <c r="E3" s="101">
        <v>46226</v>
      </c>
      <c r="F3" s="8"/>
      <c r="G3" s="8" t="s">
        <v>1026</v>
      </c>
      <c r="H3" s="8" t="s">
        <v>1027</v>
      </c>
      <c r="I3" t="s">
        <v>1028</v>
      </c>
    </row>
    <row r="4" spans="1:10" ht="71.25">
      <c r="A4" s="215" t="s">
        <v>1018</v>
      </c>
      <c r="B4" s="9">
        <v>3</v>
      </c>
      <c r="C4" s="8" t="s">
        <v>1029</v>
      </c>
      <c r="D4" s="59" t="s">
        <v>1030</v>
      </c>
      <c r="E4" s="101">
        <v>46226</v>
      </c>
      <c r="F4" s="8"/>
      <c r="G4" s="8" t="s">
        <v>1031</v>
      </c>
      <c r="H4" s="8" t="s">
        <v>1032</v>
      </c>
    </row>
    <row r="5" spans="1:10" ht="71.25">
      <c r="A5" s="215" t="s">
        <v>1018</v>
      </c>
      <c r="B5" s="9">
        <v>4</v>
      </c>
      <c r="C5" s="8" t="s">
        <v>1033</v>
      </c>
      <c r="D5" s="59" t="s">
        <v>1034</v>
      </c>
      <c r="E5" s="101">
        <v>46226</v>
      </c>
      <c r="F5" s="8"/>
      <c r="G5" s="8" t="s">
        <v>1035</v>
      </c>
      <c r="H5" s="8" t="s">
        <v>1036</v>
      </c>
    </row>
    <row r="6" spans="1:10" ht="71.25">
      <c r="A6" s="215" t="s">
        <v>1018</v>
      </c>
      <c r="B6" s="9">
        <v>5</v>
      </c>
      <c r="C6" s="8" t="s">
        <v>1037</v>
      </c>
      <c r="D6" s="59" t="s">
        <v>1038</v>
      </c>
      <c r="E6" s="101">
        <v>46226</v>
      </c>
      <c r="F6" s="8"/>
      <c r="G6" s="8" t="s">
        <v>1039</v>
      </c>
      <c r="H6" s="8" t="s">
        <v>1040</v>
      </c>
    </row>
    <row r="7" spans="1:10" ht="71.25">
      <c r="A7" s="215" t="s">
        <v>1018</v>
      </c>
      <c r="B7" s="9">
        <v>6</v>
      </c>
      <c r="C7" s="8" t="s">
        <v>1041</v>
      </c>
      <c r="D7" s="59" t="s">
        <v>1042</v>
      </c>
      <c r="E7" s="101">
        <v>46226</v>
      </c>
      <c r="F7" s="8"/>
      <c r="G7" s="8" t="s">
        <v>1043</v>
      </c>
      <c r="H7" s="8" t="s">
        <v>1044</v>
      </c>
    </row>
    <row r="8" spans="1:10" ht="71.25">
      <c r="A8" s="215" t="s">
        <v>1018</v>
      </c>
      <c r="B8" s="9">
        <v>7</v>
      </c>
      <c r="C8" s="8" t="s">
        <v>1045</v>
      </c>
      <c r="D8" s="59" t="s">
        <v>1046</v>
      </c>
      <c r="E8" s="101">
        <v>46226</v>
      </c>
      <c r="F8" s="8"/>
      <c r="G8" s="8" t="s">
        <v>1047</v>
      </c>
      <c r="H8" s="8" t="s">
        <v>1048</v>
      </c>
    </row>
    <row r="9" spans="1:10" ht="57">
      <c r="A9" s="215" t="s">
        <v>1018</v>
      </c>
      <c r="B9" s="9">
        <v>8</v>
      </c>
      <c r="C9" s="8" t="s">
        <v>1049</v>
      </c>
      <c r="D9" s="59" t="s">
        <v>1050</v>
      </c>
      <c r="E9" s="101">
        <v>46226</v>
      </c>
      <c r="F9" s="8"/>
      <c r="G9" s="8" t="s">
        <v>1051</v>
      </c>
      <c r="H9" s="8" t="s">
        <v>1052</v>
      </c>
    </row>
    <row r="10" spans="1:10" ht="42.75">
      <c r="A10" s="215" t="s">
        <v>1018</v>
      </c>
      <c r="B10" s="9">
        <v>9</v>
      </c>
      <c r="C10" s="8" t="s">
        <v>1053</v>
      </c>
      <c r="D10" s="59" t="s">
        <v>1050</v>
      </c>
      <c r="E10" s="101">
        <v>46226</v>
      </c>
      <c r="F10" s="8"/>
      <c r="G10" s="8" t="s">
        <v>1054</v>
      </c>
      <c r="H10" s="8" t="s">
        <v>1055</v>
      </c>
    </row>
    <row r="11" spans="1:10" ht="57">
      <c r="A11" s="215" t="s">
        <v>1018</v>
      </c>
      <c r="B11" s="9">
        <v>10</v>
      </c>
      <c r="C11" s="8" t="s">
        <v>1056</v>
      </c>
      <c r="D11" s="59" t="s">
        <v>1057</v>
      </c>
      <c r="E11" s="101">
        <v>46226</v>
      </c>
      <c r="F11" s="8"/>
      <c r="G11" s="8" t="s">
        <v>1058</v>
      </c>
      <c r="H11" s="8" t="s">
        <v>1059</v>
      </c>
    </row>
    <row r="12" spans="1:10" ht="71.25">
      <c r="A12" s="215" t="s">
        <v>1018</v>
      </c>
      <c r="B12" s="9">
        <v>11</v>
      </c>
      <c r="C12" s="8" t="s">
        <v>1060</v>
      </c>
      <c r="D12" s="59" t="s">
        <v>1061</v>
      </c>
      <c r="E12" s="101">
        <v>46226</v>
      </c>
      <c r="F12" s="8"/>
      <c r="G12" s="8" t="s">
        <v>1062</v>
      </c>
      <c r="H12" s="8" t="s">
        <v>1063</v>
      </c>
    </row>
    <row r="13" spans="1:10" ht="71.25">
      <c r="A13" s="215" t="s">
        <v>1018</v>
      </c>
      <c r="B13" s="9">
        <v>12</v>
      </c>
      <c r="C13" s="8" t="s">
        <v>1064</v>
      </c>
      <c r="D13" s="59" t="s">
        <v>1065</v>
      </c>
      <c r="E13" s="101">
        <v>46226</v>
      </c>
      <c r="F13" s="8"/>
      <c r="G13" s="8" t="s">
        <v>1066</v>
      </c>
      <c r="H13" s="8" t="s">
        <v>1067</v>
      </c>
    </row>
    <row r="14" spans="1:10" ht="71.25">
      <c r="A14" s="215" t="s">
        <v>1018</v>
      </c>
      <c r="B14" s="9">
        <v>13</v>
      </c>
      <c r="C14" s="8" t="s">
        <v>1068</v>
      </c>
      <c r="D14" s="59" t="s">
        <v>1069</v>
      </c>
      <c r="E14" s="101">
        <v>46226</v>
      </c>
      <c r="F14" s="8"/>
      <c r="G14" s="8" t="s">
        <v>1070</v>
      </c>
      <c r="H14" s="8" t="s">
        <v>1071</v>
      </c>
    </row>
    <row r="15" spans="1:10" ht="71.25">
      <c r="A15" s="215" t="s">
        <v>1018</v>
      </c>
      <c r="B15" s="9">
        <v>14</v>
      </c>
      <c r="C15" s="8" t="s">
        <v>1072</v>
      </c>
      <c r="D15" s="59" t="s">
        <v>1073</v>
      </c>
      <c r="E15" s="101">
        <v>46226</v>
      </c>
      <c r="F15" s="8"/>
      <c r="G15" s="8" t="s">
        <v>1074</v>
      </c>
      <c r="H15" s="8" t="s">
        <v>1075</v>
      </c>
    </row>
    <row r="16" spans="1:10" ht="71.25">
      <c r="A16" s="215" t="s">
        <v>1018</v>
      </c>
      <c r="B16" s="9">
        <v>15</v>
      </c>
      <c r="C16" s="8" t="s">
        <v>1076</v>
      </c>
      <c r="D16" s="59" t="s">
        <v>1077</v>
      </c>
      <c r="E16" s="101">
        <v>46226</v>
      </c>
      <c r="F16" s="8"/>
      <c r="G16" s="8" t="s">
        <v>1078</v>
      </c>
      <c r="H16" s="8" t="s">
        <v>1079</v>
      </c>
    </row>
    <row r="17" spans="1:10" ht="57">
      <c r="A17" s="215" t="s">
        <v>1018</v>
      </c>
      <c r="B17" s="9">
        <v>16</v>
      </c>
      <c r="C17" s="8" t="s">
        <v>1080</v>
      </c>
      <c r="D17" s="59" t="s">
        <v>1081</v>
      </c>
      <c r="E17" s="101">
        <v>46226</v>
      </c>
      <c r="F17" s="8"/>
      <c r="G17" s="8" t="s">
        <v>1082</v>
      </c>
      <c r="H17" s="8" t="s">
        <v>1083</v>
      </c>
    </row>
    <row r="18" spans="1:10" ht="71.25">
      <c r="A18" s="215" t="s">
        <v>1018</v>
      </c>
      <c r="B18" s="9">
        <v>17</v>
      </c>
      <c r="C18" s="8" t="s">
        <v>1084</v>
      </c>
      <c r="D18" s="59" t="s">
        <v>1085</v>
      </c>
      <c r="E18" s="101">
        <v>46226</v>
      </c>
      <c r="F18" s="8"/>
      <c r="G18" s="8" t="s">
        <v>1086</v>
      </c>
      <c r="H18" s="8" t="s">
        <v>1087</v>
      </c>
    </row>
    <row r="19" spans="1:10" ht="71.25">
      <c r="A19" s="215" t="s">
        <v>1018</v>
      </c>
      <c r="B19" s="9">
        <v>18</v>
      </c>
      <c r="C19" s="8" t="s">
        <v>1088</v>
      </c>
      <c r="D19" s="59" t="s">
        <v>1089</v>
      </c>
      <c r="E19" s="101">
        <v>46226</v>
      </c>
      <c r="F19" s="8"/>
      <c r="G19" s="8" t="s">
        <v>1090</v>
      </c>
      <c r="H19" s="8" t="s">
        <v>1091</v>
      </c>
    </row>
    <row r="20" spans="1:10" ht="71.25">
      <c r="A20" s="215" t="s">
        <v>1018</v>
      </c>
      <c r="B20" s="9">
        <v>19</v>
      </c>
      <c r="C20" s="8" t="s">
        <v>1092</v>
      </c>
      <c r="D20" s="59" t="s">
        <v>1093</v>
      </c>
      <c r="E20" s="101">
        <v>46226</v>
      </c>
      <c r="F20" s="8"/>
      <c r="G20" s="8" t="s">
        <v>1094</v>
      </c>
      <c r="H20" s="8" t="s">
        <v>1095</v>
      </c>
    </row>
    <row r="21" spans="1:10" ht="71.25">
      <c r="A21" s="215" t="s">
        <v>1018</v>
      </c>
      <c r="B21" s="9">
        <v>20</v>
      </c>
      <c r="C21" s="8" t="s">
        <v>1096</v>
      </c>
      <c r="D21" s="59" t="s">
        <v>1097</v>
      </c>
      <c r="E21" s="101">
        <v>46226</v>
      </c>
      <c r="F21" s="8"/>
      <c r="G21" s="8" t="s">
        <v>1098</v>
      </c>
      <c r="H21" s="8" t="s">
        <v>1099</v>
      </c>
    </row>
    <row r="22" spans="1:10" ht="85.5">
      <c r="A22" s="215" t="s">
        <v>1018</v>
      </c>
      <c r="B22" s="9">
        <v>21</v>
      </c>
      <c r="C22" s="8" t="s">
        <v>1100</v>
      </c>
      <c r="D22" s="59" t="s">
        <v>1101</v>
      </c>
      <c r="E22" s="101">
        <v>46226</v>
      </c>
      <c r="F22" s="8"/>
      <c r="G22" s="8" t="s">
        <v>1102</v>
      </c>
      <c r="H22" s="8" t="s">
        <v>1103</v>
      </c>
    </row>
    <row r="23" spans="1:10" ht="71.25">
      <c r="A23" s="215" t="s">
        <v>1018</v>
      </c>
      <c r="B23" s="9">
        <v>22</v>
      </c>
      <c r="C23" s="8" t="s">
        <v>1104</v>
      </c>
      <c r="D23" s="59" t="s">
        <v>1105</v>
      </c>
      <c r="E23" s="101">
        <v>46226</v>
      </c>
      <c r="F23" s="8"/>
      <c r="G23" s="8" t="s">
        <v>1106</v>
      </c>
      <c r="H23" s="8" t="s">
        <v>1107</v>
      </c>
    </row>
    <row r="24" spans="1:10" ht="71.25">
      <c r="A24" s="215" t="s">
        <v>1018</v>
      </c>
      <c r="B24" s="9">
        <v>23</v>
      </c>
      <c r="C24" s="8" t="s">
        <v>1108</v>
      </c>
      <c r="D24" s="59" t="s">
        <v>1109</v>
      </c>
      <c r="E24" s="101">
        <v>46226</v>
      </c>
      <c r="F24" s="8"/>
      <c r="G24" s="8" t="s">
        <v>1110</v>
      </c>
      <c r="H24" s="8" t="s">
        <v>1111</v>
      </c>
    </row>
    <row r="25" spans="1:10" ht="71.25">
      <c r="A25" s="215" t="s">
        <v>1018</v>
      </c>
      <c r="B25" s="9">
        <v>24</v>
      </c>
      <c r="C25" s="8" t="s">
        <v>1112</v>
      </c>
      <c r="D25" s="59" t="s">
        <v>1113</v>
      </c>
      <c r="E25" s="101">
        <v>46226</v>
      </c>
      <c r="F25" s="8"/>
      <c r="G25" s="8" t="s">
        <v>1114</v>
      </c>
      <c r="H25" s="8" t="s">
        <v>1115</v>
      </c>
    </row>
    <row r="26" spans="1:10" ht="71.25">
      <c r="A26" s="215" t="s">
        <v>1018</v>
      </c>
      <c r="B26" s="9">
        <v>25</v>
      </c>
      <c r="C26" s="8" t="s">
        <v>1116</v>
      </c>
      <c r="D26" s="59" t="s">
        <v>1117</v>
      </c>
      <c r="E26" s="101">
        <v>46226</v>
      </c>
      <c r="F26" s="8"/>
      <c r="G26" s="8" t="s">
        <v>1118</v>
      </c>
      <c r="H26" s="8" t="s">
        <v>1119</v>
      </c>
    </row>
    <row r="27" spans="1:10" ht="57">
      <c r="A27" s="215" t="s">
        <v>1018</v>
      </c>
      <c r="B27" s="9">
        <v>26</v>
      </c>
      <c r="C27" s="8" t="s">
        <v>1120</v>
      </c>
      <c r="D27" s="59" t="s">
        <v>1121</v>
      </c>
      <c r="E27" s="101">
        <v>46226</v>
      </c>
      <c r="F27" s="8"/>
      <c r="G27" s="8" t="s">
        <v>1122</v>
      </c>
      <c r="H27" s="8" t="s">
        <v>1123</v>
      </c>
    </row>
    <row r="28" spans="1:10">
      <c r="A28" s="216"/>
      <c r="B28" s="10"/>
      <c r="C28" s="11"/>
      <c r="D28" s="11"/>
      <c r="E28" s="11"/>
      <c r="F28" s="11"/>
      <c r="G28" s="11"/>
      <c r="H28" s="11"/>
    </row>
    <row r="29" spans="1:10" ht="42.75">
      <c r="A29" s="215" t="s">
        <v>97</v>
      </c>
      <c r="B29" s="9">
        <v>1</v>
      </c>
      <c r="C29" s="8" t="s">
        <v>1124</v>
      </c>
      <c r="D29" s="59" t="s">
        <v>1125</v>
      </c>
      <c r="E29" s="8"/>
      <c r="F29" s="8"/>
      <c r="G29" s="8" t="s">
        <v>1126</v>
      </c>
      <c r="H29" s="8" t="s">
        <v>1127</v>
      </c>
      <c r="J29" s="17" t="s">
        <v>1128</v>
      </c>
    </row>
    <row r="30" spans="1:10" ht="28.5">
      <c r="A30" s="215" t="s">
        <v>97</v>
      </c>
      <c r="B30" s="9">
        <v>2</v>
      </c>
      <c r="C30" s="8" t="s">
        <v>1129</v>
      </c>
      <c r="D30" s="59" t="s">
        <v>1125</v>
      </c>
      <c r="E30" s="8"/>
      <c r="F30" s="8"/>
      <c r="G30" s="8" t="s">
        <v>1130</v>
      </c>
      <c r="H30" s="8" t="s">
        <v>1131</v>
      </c>
      <c r="J30" s="17" t="s">
        <v>1128</v>
      </c>
    </row>
    <row r="31" spans="1:10" ht="42.75">
      <c r="A31" s="215" t="s">
        <v>97</v>
      </c>
      <c r="B31" s="9">
        <v>3</v>
      </c>
      <c r="C31" s="8" t="s">
        <v>1132</v>
      </c>
      <c r="D31" s="59" t="s">
        <v>1125</v>
      </c>
      <c r="E31" s="8"/>
      <c r="F31" s="8"/>
      <c r="G31" s="8" t="s">
        <v>1133</v>
      </c>
      <c r="H31" s="8" t="s">
        <v>1134</v>
      </c>
      <c r="J31" s="17" t="s">
        <v>1128</v>
      </c>
    </row>
    <row r="32" spans="1:10" ht="28.5">
      <c r="A32" s="215" t="s">
        <v>97</v>
      </c>
      <c r="B32" s="9">
        <v>4</v>
      </c>
      <c r="C32" s="8" t="s">
        <v>1135</v>
      </c>
      <c r="D32" s="59" t="s">
        <v>1125</v>
      </c>
      <c r="E32" s="8"/>
      <c r="F32" s="8"/>
      <c r="G32" s="8" t="s">
        <v>1136</v>
      </c>
      <c r="H32" s="8" t="s">
        <v>1137</v>
      </c>
      <c r="J32" s="17" t="s">
        <v>1128</v>
      </c>
    </row>
    <row r="33" spans="1:10" ht="42.75">
      <c r="A33" s="215" t="s">
        <v>97</v>
      </c>
      <c r="B33" s="9">
        <v>5</v>
      </c>
      <c r="C33" s="8" t="s">
        <v>1138</v>
      </c>
      <c r="D33" s="59" t="s">
        <v>1125</v>
      </c>
      <c r="E33" s="8"/>
      <c r="F33" s="8"/>
      <c r="G33" s="8" t="s">
        <v>1139</v>
      </c>
      <c r="H33" s="8" t="s">
        <v>1140</v>
      </c>
      <c r="J33" s="17" t="s">
        <v>1128</v>
      </c>
    </row>
    <row r="34" spans="1:10" ht="42.75">
      <c r="A34" s="215" t="s">
        <v>97</v>
      </c>
      <c r="B34" s="9">
        <v>6</v>
      </c>
      <c r="C34" s="8" t="s">
        <v>1141</v>
      </c>
      <c r="D34" s="59" t="s">
        <v>1125</v>
      </c>
      <c r="E34" s="8"/>
      <c r="F34" s="8"/>
      <c r="G34" s="8" t="s">
        <v>1142</v>
      </c>
      <c r="H34" s="8" t="s">
        <v>1143</v>
      </c>
      <c r="J34" s="17" t="s">
        <v>1128</v>
      </c>
    </row>
    <row r="35" spans="1:10" ht="171">
      <c r="A35" s="215" t="s">
        <v>97</v>
      </c>
      <c r="B35" s="9">
        <v>8</v>
      </c>
      <c r="C35" s="8" t="s">
        <v>1144</v>
      </c>
      <c r="D35" s="59" t="s">
        <v>1145</v>
      </c>
      <c r="E35" s="8"/>
      <c r="F35" s="8"/>
      <c r="G35" s="8" t="s">
        <v>1146</v>
      </c>
      <c r="H35" s="8" t="s">
        <v>1147</v>
      </c>
      <c r="J35" s="17" t="s">
        <v>1128</v>
      </c>
    </row>
    <row r="36" spans="1:10" ht="42.75">
      <c r="A36" s="215" t="s">
        <v>97</v>
      </c>
      <c r="B36" s="9">
        <v>9</v>
      </c>
      <c r="C36" s="8" t="s">
        <v>1148</v>
      </c>
      <c r="D36" s="59" t="s">
        <v>1125</v>
      </c>
      <c r="E36" s="8"/>
      <c r="F36" s="8"/>
      <c r="G36" s="8" t="s">
        <v>1149</v>
      </c>
      <c r="H36" s="8" t="s">
        <v>1150</v>
      </c>
      <c r="J36" s="17" t="s">
        <v>1128</v>
      </c>
    </row>
    <row r="37" spans="1:10" ht="42.75">
      <c r="A37" s="215" t="s">
        <v>97</v>
      </c>
      <c r="B37" s="9">
        <v>10</v>
      </c>
      <c r="C37" s="8" t="s">
        <v>1151</v>
      </c>
      <c r="D37" s="59" t="s">
        <v>1125</v>
      </c>
      <c r="E37" s="8"/>
      <c r="F37" s="8"/>
      <c r="G37" s="8" t="s">
        <v>1152</v>
      </c>
      <c r="H37" s="8" t="s">
        <v>1153</v>
      </c>
      <c r="J37" s="17" t="s">
        <v>1128</v>
      </c>
    </row>
    <row r="38" spans="1:10" ht="85.5">
      <c r="A38" s="215" t="s">
        <v>97</v>
      </c>
      <c r="B38" s="9">
        <v>11</v>
      </c>
      <c r="C38" s="8" t="s">
        <v>1154</v>
      </c>
      <c r="D38" s="59" t="s">
        <v>1155</v>
      </c>
      <c r="E38" s="8"/>
      <c r="F38" s="8"/>
      <c r="G38" s="8" t="s">
        <v>1156</v>
      </c>
      <c r="H38" s="8" t="s">
        <v>1157</v>
      </c>
      <c r="J38" s="17" t="s">
        <v>1128</v>
      </c>
    </row>
    <row r="39" spans="1:10" ht="71.25">
      <c r="A39" s="215" t="s">
        <v>97</v>
      </c>
      <c r="B39" s="9">
        <v>12</v>
      </c>
      <c r="C39" s="8" t="s">
        <v>1158</v>
      </c>
      <c r="D39" s="59" t="s">
        <v>1155</v>
      </c>
      <c r="E39" s="8"/>
      <c r="F39" s="8"/>
      <c r="G39" s="8"/>
      <c r="H39" s="8"/>
      <c r="J39" s="17" t="s">
        <v>1128</v>
      </c>
    </row>
    <row r="40" spans="1:10" ht="57">
      <c r="A40" s="215" t="s">
        <v>97</v>
      </c>
      <c r="B40" s="9">
        <v>13</v>
      </c>
      <c r="C40" s="8" t="s">
        <v>1159</v>
      </c>
      <c r="D40" s="59" t="s">
        <v>1125</v>
      </c>
      <c r="E40" s="8"/>
      <c r="F40" s="8"/>
      <c r="G40" s="8"/>
      <c r="H40" s="8"/>
      <c r="J40" s="17" t="s">
        <v>1128</v>
      </c>
    </row>
    <row r="41" spans="1:10" ht="42.75">
      <c r="A41" s="215" t="s">
        <v>97</v>
      </c>
      <c r="B41" s="9">
        <v>14</v>
      </c>
      <c r="C41" s="8" t="s">
        <v>1160</v>
      </c>
      <c r="D41" s="59" t="s">
        <v>1125</v>
      </c>
      <c r="E41" s="8"/>
      <c r="F41" s="8"/>
      <c r="G41" s="8"/>
      <c r="H41" s="8"/>
      <c r="J41" s="17" t="s">
        <v>1128</v>
      </c>
    </row>
    <row r="42" spans="1:10" ht="128.25">
      <c r="A42" s="215" t="s">
        <v>97</v>
      </c>
      <c r="B42" s="9">
        <v>15</v>
      </c>
      <c r="C42" s="8" t="s">
        <v>1161</v>
      </c>
      <c r="D42" s="59" t="s">
        <v>1162</v>
      </c>
      <c r="E42" s="8"/>
      <c r="F42" s="8"/>
      <c r="G42" s="8"/>
      <c r="H42" s="8"/>
      <c r="J42" s="17" t="s">
        <v>1128</v>
      </c>
    </row>
    <row r="43" spans="1:10" ht="70.5" customHeight="1">
      <c r="A43" s="215" t="s">
        <v>97</v>
      </c>
      <c r="B43" s="9">
        <v>16</v>
      </c>
      <c r="C43" s="8" t="s">
        <v>1163</v>
      </c>
      <c r="D43" s="59" t="s">
        <v>1125</v>
      </c>
      <c r="E43" s="8"/>
      <c r="F43" s="8"/>
      <c r="G43" s="8"/>
      <c r="H43" s="8"/>
      <c r="J43" s="17" t="s">
        <v>1128</v>
      </c>
    </row>
    <row r="44" spans="1:10">
      <c r="A44" s="216"/>
      <c r="B44" s="10"/>
      <c r="C44" s="11"/>
      <c r="D44" s="58"/>
      <c r="E44" s="11"/>
      <c r="F44" s="11"/>
      <c r="G44" s="11"/>
      <c r="H44" s="11"/>
    </row>
    <row r="45" spans="1:10" ht="42.75">
      <c r="A45" s="215" t="s">
        <v>355</v>
      </c>
      <c r="B45" s="9">
        <v>1</v>
      </c>
      <c r="C45" s="8" t="s">
        <v>1164</v>
      </c>
      <c r="D45" s="59" t="s">
        <v>1125</v>
      </c>
      <c r="E45" s="8"/>
      <c r="F45" s="8"/>
      <c r="G45" s="8" t="s">
        <v>1165</v>
      </c>
      <c r="H45" s="8" t="s">
        <v>1166</v>
      </c>
    </row>
    <row r="46" spans="1:10" ht="42.75">
      <c r="A46" s="215" t="s">
        <v>355</v>
      </c>
      <c r="B46" s="9">
        <v>2</v>
      </c>
      <c r="C46" s="8" t="s">
        <v>1167</v>
      </c>
      <c r="D46" s="59" t="s">
        <v>1125</v>
      </c>
      <c r="E46" s="8"/>
      <c r="F46" s="8"/>
      <c r="G46" s="8" t="s">
        <v>1168</v>
      </c>
      <c r="H46" s="8" t="s">
        <v>1169</v>
      </c>
    </row>
    <row r="47" spans="1:10" ht="42.75">
      <c r="A47" s="215" t="s">
        <v>355</v>
      </c>
      <c r="B47" s="9">
        <v>3</v>
      </c>
      <c r="C47" s="8" t="s">
        <v>1170</v>
      </c>
      <c r="D47" s="59" t="s">
        <v>1125</v>
      </c>
      <c r="E47" s="8"/>
      <c r="F47" s="8"/>
      <c r="G47" s="8" t="s">
        <v>1171</v>
      </c>
      <c r="H47" s="8" t="s">
        <v>1172</v>
      </c>
    </row>
    <row r="48" spans="1:10" ht="42.75">
      <c r="A48" s="215" t="s">
        <v>355</v>
      </c>
      <c r="B48" s="9">
        <v>4</v>
      </c>
      <c r="C48" s="8" t="s">
        <v>1173</v>
      </c>
      <c r="D48" s="59" t="s">
        <v>1125</v>
      </c>
      <c r="E48" s="8"/>
      <c r="F48" s="8"/>
      <c r="G48" s="8" t="s">
        <v>1174</v>
      </c>
      <c r="H48" s="8" t="s">
        <v>1175</v>
      </c>
    </row>
    <row r="49" spans="1:8" ht="42.75">
      <c r="A49" s="215" t="s">
        <v>355</v>
      </c>
      <c r="B49" s="9">
        <v>5</v>
      </c>
      <c r="C49" s="8" t="s">
        <v>1176</v>
      </c>
      <c r="D49" s="59" t="s">
        <v>1125</v>
      </c>
      <c r="E49" s="8"/>
      <c r="F49" s="8"/>
      <c r="G49" s="8" t="s">
        <v>1177</v>
      </c>
      <c r="H49" s="8" t="s">
        <v>1178</v>
      </c>
    </row>
    <row r="50" spans="1:8" ht="28.5">
      <c r="A50" s="215" t="s">
        <v>355</v>
      </c>
      <c r="B50" s="9">
        <v>6</v>
      </c>
      <c r="C50" s="8" t="s">
        <v>1179</v>
      </c>
      <c r="D50" s="59" t="s">
        <v>1125</v>
      </c>
      <c r="E50" s="8"/>
      <c r="F50" s="8"/>
      <c r="G50" s="8" t="s">
        <v>1180</v>
      </c>
      <c r="H50" s="8" t="s">
        <v>1181</v>
      </c>
    </row>
    <row r="51" spans="1:8" ht="42.75">
      <c r="A51" s="215" t="s">
        <v>355</v>
      </c>
      <c r="B51" s="9">
        <v>7</v>
      </c>
      <c r="C51" s="8" t="s">
        <v>1182</v>
      </c>
      <c r="D51" s="59" t="s">
        <v>1125</v>
      </c>
      <c r="E51" s="8"/>
      <c r="F51" s="8"/>
      <c r="G51" s="8" t="s">
        <v>1183</v>
      </c>
      <c r="H51" s="8" t="s">
        <v>1184</v>
      </c>
    </row>
    <row r="52" spans="1:8" ht="42.75">
      <c r="A52" s="215" t="s">
        <v>355</v>
      </c>
      <c r="B52" s="9">
        <v>8</v>
      </c>
      <c r="C52" s="8" t="s">
        <v>1185</v>
      </c>
      <c r="D52" s="59" t="s">
        <v>1125</v>
      </c>
      <c r="E52" s="8"/>
      <c r="F52" s="8"/>
      <c r="G52" s="8" t="s">
        <v>1186</v>
      </c>
      <c r="H52" s="8" t="s">
        <v>1187</v>
      </c>
    </row>
    <row r="53" spans="1:8" ht="42.75">
      <c r="A53" s="215" t="s">
        <v>355</v>
      </c>
      <c r="B53" s="9">
        <v>9</v>
      </c>
      <c r="C53" s="8" t="s">
        <v>1188</v>
      </c>
      <c r="D53" s="59" t="s">
        <v>1125</v>
      </c>
      <c r="E53" s="8"/>
      <c r="F53" s="8"/>
      <c r="G53" s="8" t="s">
        <v>1189</v>
      </c>
      <c r="H53" s="8" t="s">
        <v>1190</v>
      </c>
    </row>
    <row r="54" spans="1:8" ht="42.75">
      <c r="A54" s="215" t="s">
        <v>355</v>
      </c>
      <c r="B54" s="9">
        <v>10</v>
      </c>
      <c r="C54" s="8" t="s">
        <v>1191</v>
      </c>
      <c r="D54" s="59" t="s">
        <v>1125</v>
      </c>
      <c r="E54" s="8"/>
      <c r="F54" s="8"/>
      <c r="G54" s="8" t="s">
        <v>1192</v>
      </c>
      <c r="H54" s="8" t="s">
        <v>1193</v>
      </c>
    </row>
    <row r="55" spans="1:8" ht="42.75">
      <c r="A55" s="215" t="s">
        <v>355</v>
      </c>
      <c r="B55" s="9">
        <v>11</v>
      </c>
      <c r="C55" s="8" t="s">
        <v>1194</v>
      </c>
      <c r="D55" s="59" t="s">
        <v>1125</v>
      </c>
      <c r="E55" s="8"/>
      <c r="F55" s="8"/>
      <c r="G55" s="8" t="s">
        <v>1195</v>
      </c>
      <c r="H55" s="8" t="s">
        <v>1196</v>
      </c>
    </row>
    <row r="56" spans="1:8" ht="57">
      <c r="A56" s="215" t="s">
        <v>355</v>
      </c>
      <c r="B56" s="9">
        <v>12</v>
      </c>
      <c r="C56" s="8" t="s">
        <v>1197</v>
      </c>
      <c r="D56" s="59" t="s">
        <v>1125</v>
      </c>
      <c r="E56" s="8"/>
      <c r="F56" s="8"/>
      <c r="G56" s="8" t="s">
        <v>1198</v>
      </c>
      <c r="H56" s="8" t="s">
        <v>1199</v>
      </c>
    </row>
    <row r="57" spans="1:8" ht="57">
      <c r="A57" s="215" t="s">
        <v>355</v>
      </c>
      <c r="B57" s="9">
        <v>13</v>
      </c>
      <c r="C57" s="8" t="s">
        <v>1200</v>
      </c>
      <c r="D57" s="59" t="s">
        <v>1125</v>
      </c>
      <c r="E57" s="8"/>
      <c r="F57" s="8"/>
      <c r="G57" s="8" t="s">
        <v>1201</v>
      </c>
      <c r="H57" s="8" t="s">
        <v>1202</v>
      </c>
    </row>
    <row r="58" spans="1:8" ht="28.5">
      <c r="A58" s="215" t="s">
        <v>355</v>
      </c>
      <c r="B58" s="9">
        <v>14</v>
      </c>
      <c r="C58" s="8" t="s">
        <v>1203</v>
      </c>
      <c r="D58" s="59" t="s">
        <v>1125</v>
      </c>
      <c r="E58" s="8"/>
      <c r="F58" s="8"/>
      <c r="G58" s="8" t="s">
        <v>1204</v>
      </c>
      <c r="H58" s="8" t="s">
        <v>1205</v>
      </c>
    </row>
    <row r="59" spans="1:8" ht="28.5">
      <c r="A59" s="215" t="s">
        <v>355</v>
      </c>
      <c r="B59" s="9">
        <v>15</v>
      </c>
      <c r="C59" s="8" t="s">
        <v>1206</v>
      </c>
      <c r="D59" s="59" t="s">
        <v>1125</v>
      </c>
      <c r="E59" s="8"/>
      <c r="F59" s="8"/>
      <c r="G59" s="8" t="s">
        <v>1207</v>
      </c>
      <c r="H59" s="8" t="s">
        <v>1208</v>
      </c>
    </row>
    <row r="60" spans="1:8" ht="42.75">
      <c r="A60" s="215" t="s">
        <v>355</v>
      </c>
      <c r="B60" s="9">
        <v>16</v>
      </c>
      <c r="C60" s="8" t="s">
        <v>1209</v>
      </c>
      <c r="D60" s="59" t="s">
        <v>1125</v>
      </c>
      <c r="E60" s="8"/>
      <c r="F60" s="8"/>
      <c r="G60" s="8" t="s">
        <v>1210</v>
      </c>
      <c r="H60" s="8" t="s">
        <v>1211</v>
      </c>
    </row>
    <row r="61" spans="1:8" ht="57">
      <c r="A61" s="215" t="s">
        <v>355</v>
      </c>
      <c r="B61" s="9">
        <v>17</v>
      </c>
      <c r="C61" s="8" t="s">
        <v>1212</v>
      </c>
      <c r="D61" s="59" t="s">
        <v>1125</v>
      </c>
      <c r="E61" s="8"/>
      <c r="F61" s="8"/>
      <c r="G61" s="8" t="s">
        <v>1213</v>
      </c>
      <c r="H61" s="8" t="s">
        <v>1214</v>
      </c>
    </row>
    <row r="62" spans="1:8" ht="42.75">
      <c r="A62" s="215" t="s">
        <v>355</v>
      </c>
      <c r="B62" s="9">
        <v>18</v>
      </c>
      <c r="C62" s="8" t="s">
        <v>1215</v>
      </c>
      <c r="D62" s="59" t="s">
        <v>1125</v>
      </c>
      <c r="E62" s="8"/>
      <c r="F62" s="8"/>
      <c r="G62" s="8" t="s">
        <v>1216</v>
      </c>
      <c r="H62" s="8" t="s">
        <v>1217</v>
      </c>
    </row>
    <row r="63" spans="1:8" ht="57">
      <c r="A63" s="215" t="s">
        <v>355</v>
      </c>
      <c r="B63" s="9">
        <v>19</v>
      </c>
      <c r="C63" s="8" t="s">
        <v>1218</v>
      </c>
      <c r="D63" s="59" t="s">
        <v>1125</v>
      </c>
      <c r="E63" s="8"/>
      <c r="F63" s="8"/>
      <c r="G63" s="8" t="s">
        <v>1219</v>
      </c>
      <c r="H63" s="8" t="s">
        <v>1220</v>
      </c>
    </row>
    <row r="64" spans="1:8" ht="71.25">
      <c r="A64" s="215" t="s">
        <v>355</v>
      </c>
      <c r="B64" s="9">
        <v>20</v>
      </c>
      <c r="C64" s="8" t="s">
        <v>1221</v>
      </c>
      <c r="D64" s="59" t="s">
        <v>1125</v>
      </c>
      <c r="E64" s="8"/>
      <c r="F64" s="8"/>
      <c r="G64" s="8" t="s">
        <v>1222</v>
      </c>
      <c r="H64" s="8" t="s">
        <v>1223</v>
      </c>
    </row>
    <row r="65" spans="1:10" ht="57">
      <c r="A65" s="215" t="s">
        <v>355</v>
      </c>
      <c r="B65" s="9">
        <v>21</v>
      </c>
      <c r="C65" s="8" t="s">
        <v>1224</v>
      </c>
      <c r="D65" s="59" t="s">
        <v>1125</v>
      </c>
      <c r="E65" s="8"/>
      <c r="F65" s="8"/>
      <c r="G65" s="8" t="s">
        <v>1225</v>
      </c>
      <c r="H65" s="8" t="s">
        <v>1226</v>
      </c>
    </row>
    <row r="66" spans="1:10" ht="71.25">
      <c r="A66" s="215" t="s">
        <v>355</v>
      </c>
      <c r="B66" s="9">
        <v>22</v>
      </c>
      <c r="C66" s="8" t="s">
        <v>1227</v>
      </c>
      <c r="D66" s="59" t="s">
        <v>1125</v>
      </c>
      <c r="E66" s="8"/>
      <c r="F66" s="8"/>
      <c r="G66" s="8" t="s">
        <v>1228</v>
      </c>
      <c r="H66" s="8" t="s">
        <v>1229</v>
      </c>
    </row>
    <row r="67" spans="1:10">
      <c r="A67" s="216"/>
      <c r="B67" s="10"/>
      <c r="C67" s="11"/>
      <c r="D67" s="11"/>
      <c r="E67" s="11"/>
      <c r="F67" s="11"/>
      <c r="G67" s="11"/>
      <c r="H67" s="11"/>
    </row>
    <row r="68" spans="1:10" ht="42.75">
      <c r="A68" s="215" t="s">
        <v>289</v>
      </c>
      <c r="B68" s="9">
        <v>1</v>
      </c>
      <c r="C68" s="8" t="s">
        <v>1230</v>
      </c>
      <c r="D68" s="59" t="s">
        <v>1125</v>
      </c>
      <c r="E68" s="8"/>
      <c r="F68" s="8"/>
      <c r="G68" s="8" t="s">
        <v>1231</v>
      </c>
      <c r="H68" s="8" t="s">
        <v>1232</v>
      </c>
      <c r="J68" s="73" t="s">
        <v>1128</v>
      </c>
    </row>
    <row r="69" spans="1:10" ht="57">
      <c r="A69" s="215" t="s">
        <v>289</v>
      </c>
      <c r="B69" s="9">
        <v>2</v>
      </c>
      <c r="C69" s="8" t="s">
        <v>1233</v>
      </c>
      <c r="D69" s="59" t="s">
        <v>1125</v>
      </c>
      <c r="E69" s="8"/>
      <c r="F69" s="8"/>
      <c r="G69" s="8" t="s">
        <v>1234</v>
      </c>
      <c r="H69" s="8" t="s">
        <v>1235</v>
      </c>
      <c r="J69" s="73" t="s">
        <v>1128</v>
      </c>
    </row>
    <row r="70" spans="1:10" ht="57">
      <c r="A70" s="215" t="s">
        <v>289</v>
      </c>
      <c r="B70" s="9">
        <v>3</v>
      </c>
      <c r="C70" s="8" t="s">
        <v>1236</v>
      </c>
      <c r="D70" s="59" t="s">
        <v>1125</v>
      </c>
      <c r="E70" s="8"/>
      <c r="F70" s="8"/>
      <c r="G70" s="8" t="s">
        <v>1237</v>
      </c>
      <c r="H70" s="8" t="s">
        <v>1238</v>
      </c>
      <c r="J70" s="73" t="s">
        <v>1128</v>
      </c>
    </row>
    <row r="71" spans="1:10" ht="42.75">
      <c r="A71" s="215" t="s">
        <v>289</v>
      </c>
      <c r="B71" s="9">
        <v>4</v>
      </c>
      <c r="C71" s="8" t="s">
        <v>1239</v>
      </c>
      <c r="D71" s="59" t="s">
        <v>1125</v>
      </c>
      <c r="E71" s="8"/>
      <c r="F71" s="8"/>
      <c r="G71" s="8" t="s">
        <v>1240</v>
      </c>
      <c r="H71" s="8" t="s">
        <v>1241</v>
      </c>
      <c r="J71" s="73" t="s">
        <v>1128</v>
      </c>
    </row>
    <row r="72" spans="1:10" ht="42.75">
      <c r="A72" s="215" t="s">
        <v>289</v>
      </c>
      <c r="B72" s="9">
        <v>5</v>
      </c>
      <c r="C72" s="8" t="s">
        <v>1242</v>
      </c>
      <c r="D72" s="59" t="s">
        <v>1125</v>
      </c>
      <c r="E72" s="8"/>
      <c r="F72" s="8"/>
      <c r="G72" s="8" t="s">
        <v>1243</v>
      </c>
      <c r="H72" s="8" t="s">
        <v>1244</v>
      </c>
      <c r="J72" s="73" t="s">
        <v>1128</v>
      </c>
    </row>
    <row r="73" spans="1:10" ht="42.75">
      <c r="A73" s="215" t="s">
        <v>289</v>
      </c>
      <c r="B73" s="9">
        <v>6</v>
      </c>
      <c r="C73" s="8" t="s">
        <v>1245</v>
      </c>
      <c r="D73" s="59" t="s">
        <v>1125</v>
      </c>
      <c r="E73" s="8"/>
      <c r="F73" s="8"/>
      <c r="G73" s="8" t="s">
        <v>1246</v>
      </c>
      <c r="H73" s="8" t="s">
        <v>1247</v>
      </c>
      <c r="J73" s="73" t="s">
        <v>1128</v>
      </c>
    </row>
    <row r="74" spans="1:10" ht="57">
      <c r="A74" s="215" t="s">
        <v>289</v>
      </c>
      <c r="B74" s="9">
        <v>7</v>
      </c>
      <c r="C74" s="8" t="s">
        <v>1248</v>
      </c>
      <c r="D74" s="59" t="s">
        <v>1125</v>
      </c>
      <c r="E74" s="8"/>
      <c r="F74" s="8"/>
      <c r="G74" s="8" t="s">
        <v>1249</v>
      </c>
      <c r="H74" s="8" t="s">
        <v>1250</v>
      </c>
      <c r="J74" s="73" t="s">
        <v>1128</v>
      </c>
    </row>
    <row r="75" spans="1:10">
      <c r="A75" s="216"/>
      <c r="B75" s="10"/>
      <c r="C75" s="11"/>
      <c r="D75" s="11"/>
      <c r="E75" s="11"/>
      <c r="F75" s="11"/>
      <c r="G75" s="11"/>
      <c r="H75" s="11"/>
    </row>
    <row r="76" spans="1:10" ht="42.75">
      <c r="A76" s="215" t="s">
        <v>1251</v>
      </c>
      <c r="B76" s="9">
        <v>1</v>
      </c>
      <c r="C76" s="8" t="s">
        <v>1252</v>
      </c>
      <c r="D76" s="12" t="s">
        <v>1253</v>
      </c>
      <c r="E76" s="8"/>
      <c r="F76" s="8"/>
      <c r="G76" s="8" t="s">
        <v>1254</v>
      </c>
      <c r="H76" s="8" t="s">
        <v>1255</v>
      </c>
    </row>
    <row r="77" spans="1:10" ht="85.5">
      <c r="A77" s="215" t="s">
        <v>1251</v>
      </c>
      <c r="B77" s="9">
        <v>2</v>
      </c>
      <c r="C77" s="8" t="s">
        <v>1256</v>
      </c>
      <c r="D77" s="12" t="s">
        <v>1253</v>
      </c>
      <c r="E77" s="8"/>
      <c r="F77" s="8"/>
      <c r="G77" s="8" t="s">
        <v>1257</v>
      </c>
      <c r="H77" s="8" t="s">
        <v>1258</v>
      </c>
    </row>
    <row r="78" spans="1:10" ht="71.25">
      <c r="A78" s="215" t="s">
        <v>1251</v>
      </c>
      <c r="B78" s="9">
        <v>3</v>
      </c>
      <c r="C78" s="8" t="s">
        <v>1259</v>
      </c>
      <c r="D78" s="12" t="s">
        <v>1253</v>
      </c>
      <c r="E78" s="8"/>
      <c r="F78" s="8"/>
      <c r="G78" s="8" t="s">
        <v>1260</v>
      </c>
      <c r="H78" s="8" t="s">
        <v>1261</v>
      </c>
    </row>
    <row r="79" spans="1:10" ht="57">
      <c r="A79" s="215" t="s">
        <v>1251</v>
      </c>
      <c r="B79" s="9">
        <v>4</v>
      </c>
      <c r="C79" s="8" t="s">
        <v>1262</v>
      </c>
      <c r="D79" s="12" t="s">
        <v>1253</v>
      </c>
      <c r="E79" s="8"/>
      <c r="F79" s="8"/>
      <c r="G79" s="8" t="s">
        <v>1263</v>
      </c>
      <c r="H79" s="8" t="s">
        <v>1175</v>
      </c>
    </row>
    <row r="80" spans="1:10">
      <c r="A80" s="216"/>
      <c r="B80" s="10"/>
      <c r="C80" s="11"/>
      <c r="D80" s="11"/>
      <c r="E80" s="11"/>
      <c r="F80" s="11"/>
      <c r="G80" s="11"/>
      <c r="H80" s="11"/>
    </row>
    <row r="81" spans="1:8" ht="42.75">
      <c r="A81" s="215" t="s">
        <v>136</v>
      </c>
      <c r="B81" s="9">
        <v>1</v>
      </c>
      <c r="C81" s="8" t="s">
        <v>1264</v>
      </c>
      <c r="D81" s="12" t="s">
        <v>1253</v>
      </c>
      <c r="E81" s="8"/>
      <c r="F81" s="8"/>
      <c r="G81" s="8" t="s">
        <v>1265</v>
      </c>
      <c r="H81" s="8" t="s">
        <v>1266</v>
      </c>
    </row>
    <row r="82" spans="1:8" ht="42.75">
      <c r="A82" s="215" t="s">
        <v>136</v>
      </c>
      <c r="B82" s="9">
        <v>2</v>
      </c>
      <c r="C82" s="8" t="s">
        <v>1267</v>
      </c>
      <c r="D82" s="59" t="s">
        <v>1125</v>
      </c>
      <c r="E82" s="8"/>
      <c r="F82" s="8"/>
      <c r="G82" s="8" t="s">
        <v>1268</v>
      </c>
      <c r="H82" s="8" t="s">
        <v>1269</v>
      </c>
    </row>
    <row r="83" spans="1:8" ht="61.5" customHeight="1">
      <c r="A83" s="215" t="s">
        <v>136</v>
      </c>
      <c r="B83" s="9">
        <v>3</v>
      </c>
      <c r="C83" s="8" t="s">
        <v>1270</v>
      </c>
      <c r="D83" s="59" t="s">
        <v>1125</v>
      </c>
      <c r="E83" s="8"/>
      <c r="F83" s="8"/>
      <c r="G83" s="8" t="s">
        <v>1271</v>
      </c>
      <c r="H83" s="8" t="s">
        <v>1272</v>
      </c>
    </row>
    <row r="84" spans="1:8" ht="42.75">
      <c r="A84" s="215" t="s">
        <v>136</v>
      </c>
      <c r="B84" s="9">
        <v>4</v>
      </c>
      <c r="C84" s="8" t="s">
        <v>1273</v>
      </c>
      <c r="D84" s="59" t="s">
        <v>1125</v>
      </c>
      <c r="E84" s="8"/>
      <c r="F84" s="8"/>
      <c r="G84" s="8" t="s">
        <v>1274</v>
      </c>
      <c r="H84" s="8" t="s">
        <v>1275</v>
      </c>
    </row>
    <row r="85" spans="1:8" ht="42.75">
      <c r="A85" s="215" t="s">
        <v>136</v>
      </c>
      <c r="B85" s="9">
        <v>5</v>
      </c>
      <c r="C85" s="8" t="s">
        <v>1276</v>
      </c>
      <c r="D85" s="59" t="s">
        <v>1125</v>
      </c>
      <c r="E85" s="8"/>
      <c r="F85" s="8"/>
      <c r="G85" s="8" t="s">
        <v>1277</v>
      </c>
      <c r="H85" s="8" t="s">
        <v>1278</v>
      </c>
    </row>
    <row r="86" spans="1:8" ht="54.6" customHeight="1">
      <c r="A86" s="215" t="s">
        <v>136</v>
      </c>
      <c r="B86" s="9">
        <v>6</v>
      </c>
      <c r="C86" s="8" t="s">
        <v>1279</v>
      </c>
      <c r="D86" s="59" t="s">
        <v>1125</v>
      </c>
      <c r="E86" s="8"/>
      <c r="F86" s="8"/>
      <c r="G86" s="8" t="s">
        <v>1280</v>
      </c>
      <c r="H86" s="8" t="s">
        <v>1281</v>
      </c>
    </row>
    <row r="87" spans="1:8" ht="71.25">
      <c r="A87" s="215" t="s">
        <v>136</v>
      </c>
      <c r="B87" s="9">
        <v>7</v>
      </c>
      <c r="C87" s="8" t="s">
        <v>1282</v>
      </c>
      <c r="D87" s="59" t="s">
        <v>1125</v>
      </c>
      <c r="E87" s="8"/>
      <c r="F87" s="8"/>
      <c r="G87" s="8" t="s">
        <v>1283</v>
      </c>
      <c r="H87" s="8" t="s">
        <v>1284</v>
      </c>
    </row>
    <row r="88" spans="1:8" ht="57">
      <c r="A88" s="215" t="s">
        <v>136</v>
      </c>
      <c r="B88" s="9">
        <v>8</v>
      </c>
      <c r="C88" s="8" t="s">
        <v>1285</v>
      </c>
      <c r="D88" s="59" t="s">
        <v>1125</v>
      </c>
      <c r="E88" s="8"/>
      <c r="F88" s="8"/>
      <c r="G88" s="8" t="s">
        <v>1286</v>
      </c>
      <c r="H88" s="8" t="s">
        <v>1287</v>
      </c>
    </row>
    <row r="89" spans="1:8" ht="42.75">
      <c r="A89" s="215" t="s">
        <v>136</v>
      </c>
      <c r="B89" s="9">
        <v>9</v>
      </c>
      <c r="C89" s="8" t="s">
        <v>1288</v>
      </c>
      <c r="D89" s="59" t="s">
        <v>1125</v>
      </c>
      <c r="E89" s="8"/>
      <c r="F89" s="8"/>
      <c r="G89" s="8" t="s">
        <v>1289</v>
      </c>
      <c r="H89" s="8" t="s">
        <v>1290</v>
      </c>
    </row>
    <row r="90" spans="1:8" ht="57">
      <c r="A90" s="215" t="s">
        <v>136</v>
      </c>
      <c r="B90" s="9">
        <v>10</v>
      </c>
      <c r="C90" s="8" t="s">
        <v>1291</v>
      </c>
      <c r="D90" s="59" t="s">
        <v>1125</v>
      </c>
      <c r="E90" s="8"/>
      <c r="F90" s="8"/>
      <c r="G90" s="8" t="s">
        <v>1292</v>
      </c>
      <c r="H90" s="8" t="s">
        <v>1293</v>
      </c>
    </row>
    <row r="91" spans="1:8" ht="57">
      <c r="A91" s="215" t="s">
        <v>136</v>
      </c>
      <c r="B91" s="9">
        <v>11</v>
      </c>
      <c r="C91" s="8" t="s">
        <v>1294</v>
      </c>
      <c r="D91" s="59" t="s">
        <v>1125</v>
      </c>
      <c r="E91" s="8"/>
      <c r="F91" s="8"/>
      <c r="G91" s="8" t="s">
        <v>1295</v>
      </c>
      <c r="H91" s="8" t="s">
        <v>1296</v>
      </c>
    </row>
    <row r="92" spans="1:8" ht="57">
      <c r="A92" s="215" t="s">
        <v>136</v>
      </c>
      <c r="B92" s="9">
        <v>12</v>
      </c>
      <c r="C92" s="8" t="s">
        <v>1297</v>
      </c>
      <c r="D92" s="59" t="s">
        <v>1125</v>
      </c>
      <c r="E92" s="8"/>
      <c r="F92" s="8"/>
      <c r="G92" s="8" t="s">
        <v>1298</v>
      </c>
      <c r="H92" s="8" t="s">
        <v>1299</v>
      </c>
    </row>
    <row r="93" spans="1:8">
      <c r="A93" s="216"/>
      <c r="B93" s="10"/>
      <c r="C93" s="11"/>
      <c r="D93" s="11"/>
      <c r="E93" s="11"/>
      <c r="F93" s="11"/>
      <c r="G93" s="11"/>
      <c r="H93" s="11"/>
    </row>
    <row r="94" spans="1:8" ht="57">
      <c r="A94" s="215" t="s">
        <v>1300</v>
      </c>
      <c r="B94" s="9">
        <v>1</v>
      </c>
      <c r="C94" s="8" t="s">
        <v>1301</v>
      </c>
      <c r="D94" s="12" t="s">
        <v>1253</v>
      </c>
      <c r="E94" s="13">
        <v>46182</v>
      </c>
      <c r="F94" s="8" t="s">
        <v>1302</v>
      </c>
      <c r="G94" s="8"/>
      <c r="H94" s="8"/>
    </row>
    <row r="95" spans="1:8" ht="85.5">
      <c r="A95" s="215" t="s">
        <v>1300</v>
      </c>
      <c r="B95" s="9">
        <v>2</v>
      </c>
      <c r="C95" s="8" t="s">
        <v>1303</v>
      </c>
      <c r="D95" s="12" t="s">
        <v>1253</v>
      </c>
      <c r="E95" s="13">
        <v>46182</v>
      </c>
      <c r="F95" s="8" t="s">
        <v>1302</v>
      </c>
      <c r="G95" s="8"/>
      <c r="H95" s="8"/>
    </row>
    <row r="96" spans="1:8" ht="71.25">
      <c r="A96" s="215" t="s">
        <v>1300</v>
      </c>
      <c r="B96" s="9">
        <v>3</v>
      </c>
      <c r="C96" s="8" t="s">
        <v>1304</v>
      </c>
      <c r="D96" s="12" t="s">
        <v>1253</v>
      </c>
      <c r="E96" s="13">
        <v>46182</v>
      </c>
      <c r="F96" s="8" t="s">
        <v>1302</v>
      </c>
      <c r="G96" s="8"/>
      <c r="H96" s="8"/>
    </row>
    <row r="97" spans="1:8" ht="85.5">
      <c r="A97" s="215" t="s">
        <v>1300</v>
      </c>
      <c r="B97" s="9">
        <v>4</v>
      </c>
      <c r="C97" s="8" t="s">
        <v>1305</v>
      </c>
      <c r="D97" s="12" t="s">
        <v>1253</v>
      </c>
      <c r="E97" s="8"/>
      <c r="F97" s="8"/>
      <c r="G97" s="8"/>
      <c r="H97" s="8"/>
    </row>
    <row r="98" spans="1:8" ht="71.25">
      <c r="A98" s="215" t="s">
        <v>1300</v>
      </c>
      <c r="B98" s="9">
        <v>5</v>
      </c>
      <c r="C98" s="8" t="s">
        <v>1306</v>
      </c>
      <c r="D98" s="12" t="s">
        <v>1253</v>
      </c>
      <c r="E98" s="8"/>
      <c r="F98" s="8"/>
      <c r="G98" s="8" t="s">
        <v>1307</v>
      </c>
      <c r="H98" s="8" t="s">
        <v>1308</v>
      </c>
    </row>
    <row r="99" spans="1:8" ht="71.25">
      <c r="A99" s="215" t="s">
        <v>1300</v>
      </c>
      <c r="B99" s="9">
        <v>6</v>
      </c>
      <c r="C99" s="8" t="s">
        <v>1309</v>
      </c>
      <c r="D99" s="12" t="s">
        <v>1253</v>
      </c>
      <c r="E99" s="8"/>
      <c r="F99" s="8"/>
      <c r="G99" s="8" t="s">
        <v>1310</v>
      </c>
      <c r="H99" s="8" t="s">
        <v>1311</v>
      </c>
    </row>
    <row r="100" spans="1:8" ht="71.25">
      <c r="A100" s="215" t="s">
        <v>1300</v>
      </c>
      <c r="B100" s="9">
        <v>7</v>
      </c>
      <c r="C100" s="8" t="s">
        <v>1312</v>
      </c>
      <c r="D100" s="12" t="s">
        <v>1253</v>
      </c>
      <c r="E100" s="8"/>
      <c r="F100" s="8"/>
      <c r="G100" s="8" t="s">
        <v>1313</v>
      </c>
      <c r="H100" s="8" t="s">
        <v>1314</v>
      </c>
    </row>
    <row r="101" spans="1:8" ht="85.5">
      <c r="A101" s="215" t="s">
        <v>1300</v>
      </c>
      <c r="B101" s="9">
        <v>8</v>
      </c>
      <c r="C101" s="8" t="s">
        <v>1315</v>
      </c>
      <c r="D101" s="12" t="s">
        <v>1253</v>
      </c>
      <c r="E101" s="8"/>
      <c r="F101" s="8"/>
      <c r="G101" s="8" t="s">
        <v>1316</v>
      </c>
      <c r="H101" s="8" t="s">
        <v>1317</v>
      </c>
    </row>
    <row r="102" spans="1:8" ht="71.25">
      <c r="A102" s="215" t="s">
        <v>1300</v>
      </c>
      <c r="B102" s="9">
        <v>9</v>
      </c>
      <c r="C102" s="8" t="s">
        <v>1318</v>
      </c>
      <c r="D102" s="12" t="s">
        <v>1253</v>
      </c>
      <c r="E102" s="8"/>
      <c r="F102" s="8"/>
      <c r="G102" s="8" t="s">
        <v>1319</v>
      </c>
      <c r="H102" s="8" t="s">
        <v>1320</v>
      </c>
    </row>
    <row r="103" spans="1:8" ht="71.25">
      <c r="A103" s="215" t="s">
        <v>1300</v>
      </c>
      <c r="B103" s="9">
        <v>10</v>
      </c>
      <c r="C103" s="8" t="s">
        <v>1321</v>
      </c>
      <c r="D103" s="12" t="s">
        <v>1253</v>
      </c>
      <c r="E103" s="8"/>
      <c r="F103" s="8"/>
      <c r="G103" s="8" t="s">
        <v>1322</v>
      </c>
      <c r="H103" s="8" t="s">
        <v>1323</v>
      </c>
    </row>
    <row r="104" spans="1:8">
      <c r="A104" s="216"/>
      <c r="B104" s="10"/>
      <c r="C104" s="11"/>
      <c r="D104" s="11"/>
      <c r="E104" s="11"/>
      <c r="F104" s="11"/>
      <c r="G104" s="11"/>
      <c r="H104" s="11"/>
    </row>
    <row r="105" spans="1:8" ht="114">
      <c r="A105" s="215" t="s">
        <v>1324</v>
      </c>
      <c r="B105" s="9">
        <v>1</v>
      </c>
      <c r="C105" s="8" t="s">
        <v>1325</v>
      </c>
      <c r="D105" s="12" t="s">
        <v>1253</v>
      </c>
      <c r="E105" s="13" t="s">
        <v>1326</v>
      </c>
      <c r="F105" s="8" t="s">
        <v>1302</v>
      </c>
      <c r="G105" s="8" t="s">
        <v>1327</v>
      </c>
      <c r="H105" s="8" t="s">
        <v>1328</v>
      </c>
    </row>
    <row r="106" spans="1:8" ht="114">
      <c r="A106" s="215" t="s">
        <v>1324</v>
      </c>
      <c r="B106" s="9">
        <v>2</v>
      </c>
      <c r="C106" s="8" t="s">
        <v>1329</v>
      </c>
      <c r="D106" s="12" t="s">
        <v>1253</v>
      </c>
      <c r="E106" s="8" t="s">
        <v>1326</v>
      </c>
      <c r="F106" s="8" t="s">
        <v>1302</v>
      </c>
      <c r="G106" s="8" t="s">
        <v>1330</v>
      </c>
      <c r="H106" s="8" t="s">
        <v>1331</v>
      </c>
    </row>
    <row r="107" spans="1:8" ht="71.25">
      <c r="A107" s="215" t="s">
        <v>1324</v>
      </c>
      <c r="B107" s="9">
        <v>3</v>
      </c>
      <c r="C107" s="8" t="s">
        <v>1332</v>
      </c>
      <c r="D107" s="12" t="s">
        <v>1253</v>
      </c>
      <c r="E107" s="8" t="s">
        <v>1326</v>
      </c>
      <c r="F107" s="8" t="s">
        <v>1302</v>
      </c>
      <c r="G107" s="8" t="s">
        <v>1333</v>
      </c>
      <c r="H107" s="8" t="s">
        <v>1334</v>
      </c>
    </row>
    <row r="108" spans="1:8" ht="85.5">
      <c r="A108" s="215" t="s">
        <v>1324</v>
      </c>
      <c r="B108" s="9">
        <v>4</v>
      </c>
      <c r="C108" s="8" t="s">
        <v>1335</v>
      </c>
      <c r="D108" s="12" t="s">
        <v>1253</v>
      </c>
      <c r="E108" s="8" t="s">
        <v>1326</v>
      </c>
      <c r="F108" s="8" t="s">
        <v>1302</v>
      </c>
      <c r="G108" s="8" t="s">
        <v>1336</v>
      </c>
      <c r="H108" s="8" t="s">
        <v>1337</v>
      </c>
    </row>
    <row r="109" spans="1:8" ht="42.75">
      <c r="A109" s="215" t="s">
        <v>1324</v>
      </c>
      <c r="B109" s="9">
        <v>5</v>
      </c>
      <c r="C109" s="8" t="s">
        <v>1338</v>
      </c>
      <c r="D109" s="12" t="s">
        <v>1253</v>
      </c>
      <c r="E109" s="8" t="s">
        <v>1326</v>
      </c>
      <c r="F109" s="8" t="s">
        <v>1302</v>
      </c>
      <c r="G109" s="8" t="s">
        <v>1339</v>
      </c>
      <c r="H109" s="8"/>
    </row>
    <row r="110" spans="1:8" ht="42.75">
      <c r="A110" s="215" t="s">
        <v>1324</v>
      </c>
      <c r="B110" s="9">
        <v>6</v>
      </c>
      <c r="C110" s="8" t="s">
        <v>1340</v>
      </c>
      <c r="D110" s="12" t="s">
        <v>1253</v>
      </c>
      <c r="E110" s="8" t="s">
        <v>1326</v>
      </c>
      <c r="F110" s="8" t="s">
        <v>1302</v>
      </c>
      <c r="G110" s="8" t="s">
        <v>1341</v>
      </c>
      <c r="H110" s="8" t="s">
        <v>1342</v>
      </c>
    </row>
    <row r="111" spans="1:8" ht="42.75">
      <c r="A111" s="215" t="s">
        <v>1324</v>
      </c>
      <c r="B111" s="9">
        <v>7</v>
      </c>
      <c r="C111" s="8" t="s">
        <v>1343</v>
      </c>
      <c r="D111" s="12" t="s">
        <v>1253</v>
      </c>
      <c r="E111" s="8" t="s">
        <v>1326</v>
      </c>
      <c r="F111" s="8" t="s">
        <v>1302</v>
      </c>
      <c r="G111" s="8" t="s">
        <v>1344</v>
      </c>
      <c r="H111" s="8" t="s">
        <v>1345</v>
      </c>
    </row>
    <row r="112" spans="1:8" ht="57">
      <c r="A112" s="215" t="s">
        <v>1324</v>
      </c>
      <c r="B112" s="9">
        <v>8</v>
      </c>
      <c r="C112" s="8" t="s">
        <v>1346</v>
      </c>
      <c r="D112" s="59" t="s">
        <v>1347</v>
      </c>
      <c r="E112" s="8" t="s">
        <v>1326</v>
      </c>
      <c r="F112" s="8" t="s">
        <v>1348</v>
      </c>
      <c r="G112" s="8" t="s">
        <v>1349</v>
      </c>
      <c r="H112" s="8" t="s">
        <v>1350</v>
      </c>
    </row>
    <row r="113" spans="1:8" ht="42.75">
      <c r="A113" s="215" t="s">
        <v>1324</v>
      </c>
      <c r="B113" s="9">
        <v>9</v>
      </c>
      <c r="C113" s="8" t="s">
        <v>1351</v>
      </c>
      <c r="D113" s="12" t="s">
        <v>1352</v>
      </c>
      <c r="E113" s="8" t="s">
        <v>1326</v>
      </c>
      <c r="F113" s="8" t="s">
        <v>1302</v>
      </c>
      <c r="G113" s="8" t="s">
        <v>1353</v>
      </c>
      <c r="H113" s="8" t="s">
        <v>1350</v>
      </c>
    </row>
    <row r="114" spans="1:8" ht="42.75">
      <c r="A114" s="215" t="s">
        <v>1324</v>
      </c>
      <c r="B114" s="9">
        <v>10</v>
      </c>
      <c r="C114" s="8" t="s">
        <v>1354</v>
      </c>
      <c r="D114" s="12" t="s">
        <v>1355</v>
      </c>
      <c r="E114" s="8" t="s">
        <v>1356</v>
      </c>
      <c r="F114" s="8" t="s">
        <v>1357</v>
      </c>
      <c r="G114" s="8" t="s">
        <v>1358</v>
      </c>
      <c r="H114" s="8" t="s">
        <v>1359</v>
      </c>
    </row>
    <row r="115" spans="1:8" ht="42.75">
      <c r="A115" s="215" t="s">
        <v>1324</v>
      </c>
      <c r="B115" s="9">
        <v>11</v>
      </c>
      <c r="C115" s="8" t="s">
        <v>1360</v>
      </c>
      <c r="D115" s="12" t="s">
        <v>1352</v>
      </c>
      <c r="E115" s="8" t="s">
        <v>1326</v>
      </c>
      <c r="F115" s="8"/>
      <c r="G115" s="8" t="s">
        <v>1361</v>
      </c>
      <c r="H115" s="8" t="s">
        <v>1362</v>
      </c>
    </row>
    <row r="116" spans="1:8" ht="42.75">
      <c r="A116" s="215" t="s">
        <v>1324</v>
      </c>
      <c r="B116" s="9">
        <v>12</v>
      </c>
      <c r="C116" s="8" t="s">
        <v>1363</v>
      </c>
      <c r="D116" s="12" t="s">
        <v>1253</v>
      </c>
      <c r="E116" s="8" t="s">
        <v>1356</v>
      </c>
      <c r="F116" s="8" t="s">
        <v>1364</v>
      </c>
      <c r="G116" s="8" t="s">
        <v>1365</v>
      </c>
      <c r="H116" s="8" t="s">
        <v>1366</v>
      </c>
    </row>
    <row r="117" spans="1:8">
      <c r="A117" s="216"/>
      <c r="B117" s="10"/>
      <c r="C117" s="11"/>
      <c r="D117" s="11"/>
      <c r="E117" s="11"/>
      <c r="F117" s="11"/>
      <c r="G117" s="11"/>
      <c r="H117" s="11"/>
    </row>
    <row r="118" spans="1:8" ht="213.75">
      <c r="A118" s="215" t="s">
        <v>148</v>
      </c>
      <c r="B118" s="9">
        <v>1</v>
      </c>
      <c r="C118" s="8" t="s">
        <v>1367</v>
      </c>
      <c r="D118" s="8"/>
      <c r="E118" s="8"/>
      <c r="F118" s="8"/>
      <c r="G118" s="8" t="s">
        <v>1368</v>
      </c>
      <c r="H118" s="8" t="s">
        <v>1369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261F-F7D4-40C3-8B30-71F4D174DF01}">
  <dimension ref="A1:E35"/>
  <sheetViews>
    <sheetView workbookViewId="0">
      <selection activeCell="C1" sqref="C1"/>
    </sheetView>
  </sheetViews>
  <sheetFormatPr defaultRowHeight="14.25"/>
  <cols>
    <col min="1" max="1" width="12.75" customWidth="1"/>
    <col min="2" max="2" width="12.5" customWidth="1"/>
    <col min="3" max="3" width="13.625" customWidth="1"/>
    <col min="4" max="4" width="15.375" customWidth="1"/>
    <col min="5" max="5" width="16.5" customWidth="1"/>
  </cols>
  <sheetData>
    <row r="1" spans="1:5" ht="75">
      <c r="A1" s="7" t="s">
        <v>1009</v>
      </c>
      <c r="B1" s="7" t="s">
        <v>1010</v>
      </c>
      <c r="C1" s="7" t="s">
        <v>1011</v>
      </c>
      <c r="D1" s="7" t="s">
        <v>1015</v>
      </c>
      <c r="E1" s="7" t="s">
        <v>1017</v>
      </c>
    </row>
    <row r="2" spans="1:5">
      <c r="A2" s="108"/>
      <c r="B2" s="108"/>
      <c r="C2" s="108"/>
      <c r="D2" s="108"/>
      <c r="E2" s="108"/>
    </row>
    <row r="3" spans="1:5">
      <c r="A3" s="108"/>
      <c r="B3" s="108"/>
      <c r="C3" s="108"/>
      <c r="D3" s="108"/>
      <c r="E3" s="108"/>
    </row>
    <row r="4" spans="1:5">
      <c r="A4" s="108"/>
      <c r="B4" s="108"/>
      <c r="C4" s="108"/>
      <c r="D4" s="108"/>
      <c r="E4" s="108"/>
    </row>
    <row r="5" spans="1:5">
      <c r="A5" s="108"/>
      <c r="B5" s="108"/>
      <c r="C5" s="108"/>
      <c r="D5" s="108"/>
      <c r="E5" s="108"/>
    </row>
    <row r="6" spans="1:5">
      <c r="A6" s="108"/>
      <c r="B6" s="108"/>
      <c r="C6" s="108"/>
      <c r="D6" s="108"/>
      <c r="E6" s="108"/>
    </row>
    <row r="7" spans="1:5">
      <c r="A7" s="108"/>
      <c r="B7" s="108"/>
      <c r="C7" s="108"/>
      <c r="D7" s="108"/>
      <c r="E7" s="108"/>
    </row>
    <row r="8" spans="1:5">
      <c r="A8" s="108"/>
      <c r="B8" s="108"/>
      <c r="C8" s="108"/>
      <c r="D8" s="108"/>
      <c r="E8" s="108"/>
    </row>
    <row r="9" spans="1:5">
      <c r="A9" s="108"/>
      <c r="B9" s="108"/>
      <c r="C9" s="108"/>
      <c r="D9" s="108"/>
      <c r="E9" s="108"/>
    </row>
    <row r="10" spans="1:5">
      <c r="A10" s="108"/>
      <c r="B10" s="108"/>
      <c r="C10" s="108"/>
      <c r="D10" s="108"/>
      <c r="E10" s="108"/>
    </row>
    <row r="11" spans="1:5">
      <c r="A11" s="108"/>
      <c r="B11" s="108"/>
      <c r="C11" s="108"/>
      <c r="D11" s="108"/>
      <c r="E11" s="108"/>
    </row>
    <row r="12" spans="1:5">
      <c r="A12" s="108"/>
      <c r="B12" s="108"/>
      <c r="C12" s="108"/>
      <c r="D12" s="108"/>
      <c r="E12" s="108"/>
    </row>
    <row r="13" spans="1:5">
      <c r="A13" s="108"/>
      <c r="B13" s="108"/>
      <c r="C13" s="108"/>
      <c r="D13" s="108"/>
      <c r="E13" s="108"/>
    </row>
    <row r="14" spans="1:5">
      <c r="A14" s="108"/>
      <c r="B14" s="108"/>
      <c r="C14" s="108"/>
      <c r="D14" s="108"/>
      <c r="E14" s="108"/>
    </row>
    <row r="15" spans="1:5">
      <c r="A15" s="108"/>
      <c r="B15" s="108"/>
      <c r="C15" s="108"/>
      <c r="D15" s="108"/>
      <c r="E15" s="108"/>
    </row>
    <row r="16" spans="1:5">
      <c r="A16" s="108"/>
      <c r="B16" s="108"/>
      <c r="C16" s="108"/>
      <c r="D16" s="108"/>
      <c r="E16" s="108"/>
    </row>
    <row r="17" spans="1:5">
      <c r="A17" s="108"/>
      <c r="B17" s="108"/>
      <c r="C17" s="108"/>
      <c r="D17" s="108"/>
      <c r="E17" s="108"/>
    </row>
    <row r="18" spans="1:5">
      <c r="A18" s="108"/>
      <c r="B18" s="108"/>
      <c r="C18" s="108"/>
      <c r="D18" s="108"/>
      <c r="E18" s="108"/>
    </row>
    <row r="19" spans="1:5">
      <c r="A19" s="108"/>
      <c r="B19" s="108"/>
      <c r="C19" s="108"/>
      <c r="D19" s="108"/>
      <c r="E19" s="108"/>
    </row>
    <row r="20" spans="1:5">
      <c r="A20" s="108"/>
      <c r="B20" s="108"/>
      <c r="C20" s="108"/>
      <c r="D20" s="108"/>
      <c r="E20" s="108"/>
    </row>
    <row r="21" spans="1:5">
      <c r="A21" s="108"/>
      <c r="B21" s="108"/>
      <c r="C21" s="108"/>
      <c r="D21" s="108"/>
      <c r="E21" s="108"/>
    </row>
    <row r="22" spans="1:5">
      <c r="A22" s="108"/>
      <c r="B22" s="108"/>
      <c r="C22" s="108"/>
      <c r="D22" s="108"/>
      <c r="E22" s="108"/>
    </row>
    <row r="23" spans="1:5">
      <c r="A23" s="108"/>
      <c r="B23" s="108"/>
      <c r="C23" s="108"/>
      <c r="D23" s="108"/>
      <c r="E23" s="108"/>
    </row>
    <row r="24" spans="1:5">
      <c r="A24" s="108"/>
      <c r="B24" s="108"/>
      <c r="C24" s="108"/>
      <c r="D24" s="108"/>
      <c r="E24" s="108"/>
    </row>
    <row r="25" spans="1:5">
      <c r="A25" s="108"/>
      <c r="B25" s="108"/>
      <c r="C25" s="108"/>
      <c r="D25" s="108"/>
      <c r="E25" s="108"/>
    </row>
    <row r="26" spans="1:5">
      <c r="A26" s="108"/>
      <c r="B26" s="108"/>
      <c r="C26" s="108"/>
      <c r="D26" s="108"/>
      <c r="E26" s="108"/>
    </row>
    <row r="27" spans="1:5">
      <c r="A27" s="108"/>
      <c r="B27" s="108"/>
      <c r="C27" s="108"/>
      <c r="D27" s="108"/>
      <c r="E27" s="108"/>
    </row>
    <row r="28" spans="1:5">
      <c r="A28" s="108"/>
      <c r="B28" s="108"/>
      <c r="C28" s="108"/>
      <c r="D28" s="108"/>
      <c r="E28" s="108"/>
    </row>
    <row r="29" spans="1:5">
      <c r="A29" s="108"/>
      <c r="B29" s="108"/>
      <c r="C29" s="108"/>
      <c r="D29" s="108"/>
      <c r="E29" s="108"/>
    </row>
    <row r="30" spans="1:5">
      <c r="A30" s="108"/>
      <c r="B30" s="108"/>
      <c r="C30" s="108"/>
      <c r="D30" s="108"/>
      <c r="E30" s="108"/>
    </row>
    <row r="31" spans="1:5">
      <c r="A31" s="108"/>
      <c r="B31" s="108"/>
      <c r="C31" s="108"/>
      <c r="D31" s="108"/>
      <c r="E31" s="108"/>
    </row>
    <row r="32" spans="1:5">
      <c r="A32" s="108"/>
      <c r="B32" s="108"/>
      <c r="C32" s="108"/>
      <c r="D32" s="108"/>
      <c r="E32" s="108"/>
    </row>
    <row r="33" spans="1:5">
      <c r="A33" s="108"/>
      <c r="B33" s="108"/>
      <c r="C33" s="108"/>
      <c r="D33" s="108"/>
      <c r="E33" s="108"/>
    </row>
    <row r="34" spans="1:5">
      <c r="A34" s="108"/>
      <c r="B34" s="108"/>
      <c r="C34" s="108"/>
      <c r="D34" s="108"/>
      <c r="E34" s="108"/>
    </row>
    <row r="35" spans="1:5">
      <c r="A35" s="108"/>
      <c r="B35" s="108"/>
      <c r="C35" s="108"/>
      <c r="D35" s="108"/>
      <c r="E35" s="10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BA7C-329E-4F5B-B526-2325DF7E77D3}">
  <dimension ref="A1:D17"/>
  <sheetViews>
    <sheetView topLeftCell="A2" zoomScale="85" zoomScaleNormal="85" workbookViewId="0">
      <selection activeCell="J28" sqref="J28"/>
    </sheetView>
  </sheetViews>
  <sheetFormatPr defaultRowHeight="14.25"/>
  <cols>
    <col min="1" max="1" width="30.875" customWidth="1"/>
    <col min="2" max="2" width="33.375" customWidth="1"/>
    <col min="3" max="3" width="24.125" customWidth="1"/>
    <col min="4" max="4" width="33.375" customWidth="1"/>
  </cols>
  <sheetData>
    <row r="1" spans="1:4" ht="27.95" customHeight="1">
      <c r="A1" s="233" t="s">
        <v>1370</v>
      </c>
      <c r="B1" s="233"/>
      <c r="C1" s="233"/>
      <c r="D1" s="233"/>
    </row>
    <row r="2" spans="1:4" ht="36" customHeight="1">
      <c r="A2" s="234" t="s">
        <v>1371</v>
      </c>
      <c r="B2" s="234"/>
      <c r="C2" s="234"/>
      <c r="D2" s="234"/>
    </row>
    <row r="3" spans="1:4">
      <c r="A3" s="1"/>
      <c r="B3" s="1"/>
      <c r="C3" s="1"/>
      <c r="D3" s="1"/>
    </row>
    <row r="4" spans="1:4" ht="30" customHeight="1">
      <c r="A4" s="109" t="s">
        <v>323</v>
      </c>
      <c r="B4" s="109" t="s">
        <v>1372</v>
      </c>
      <c r="C4" s="109" t="s">
        <v>1373</v>
      </c>
      <c r="D4" s="109" t="s">
        <v>1374</v>
      </c>
    </row>
    <row r="5" spans="1:4" ht="63.75">
      <c r="A5" s="110" t="s">
        <v>40</v>
      </c>
      <c r="B5" s="110" t="s">
        <v>1375</v>
      </c>
      <c r="C5" s="110" t="s">
        <v>1376</v>
      </c>
      <c r="D5" s="110" t="s">
        <v>1377</v>
      </c>
    </row>
    <row r="6" spans="1:4" ht="38.25">
      <c r="A6" s="110" t="s">
        <v>1378</v>
      </c>
      <c r="B6" s="110" t="s">
        <v>1379</v>
      </c>
      <c r="C6" s="110" t="s">
        <v>1376</v>
      </c>
      <c r="D6" s="110" t="s">
        <v>1377</v>
      </c>
    </row>
    <row r="7" spans="1:4" ht="51">
      <c r="A7" s="110" t="s">
        <v>355</v>
      </c>
      <c r="B7" s="110" t="s">
        <v>1380</v>
      </c>
      <c r="C7" s="110" t="s">
        <v>1381</v>
      </c>
      <c r="D7" s="110" t="s">
        <v>1382</v>
      </c>
    </row>
    <row r="8" spans="1:4" ht="63.75">
      <c r="A8" s="110" t="s">
        <v>1383</v>
      </c>
      <c r="B8" s="110" t="s">
        <v>1384</v>
      </c>
      <c r="C8" s="110" t="s">
        <v>1385</v>
      </c>
      <c r="D8" s="110" t="s">
        <v>1386</v>
      </c>
    </row>
    <row r="9" spans="1:4" ht="38.25">
      <c r="A9" s="110" t="s">
        <v>1387</v>
      </c>
      <c r="B9" s="110" t="s">
        <v>1388</v>
      </c>
      <c r="C9" s="110" t="s">
        <v>1389</v>
      </c>
      <c r="D9" s="110" t="s">
        <v>1390</v>
      </c>
    </row>
    <row r="10" spans="1:4" ht="25.5">
      <c r="A10" s="110" t="s">
        <v>1391</v>
      </c>
      <c r="B10" s="110" t="s">
        <v>1392</v>
      </c>
      <c r="C10" s="110" t="s">
        <v>1393</v>
      </c>
      <c r="D10" s="110" t="s">
        <v>1394</v>
      </c>
    </row>
    <row r="11" spans="1:4" ht="51">
      <c r="A11" s="110" t="s">
        <v>289</v>
      </c>
      <c r="B11" s="110" t="s">
        <v>1395</v>
      </c>
      <c r="C11" s="110" t="s">
        <v>1396</v>
      </c>
      <c r="D11" s="110" t="s">
        <v>1386</v>
      </c>
    </row>
    <row r="12" spans="1:4" ht="38.25">
      <c r="A12" s="110" t="s">
        <v>1018</v>
      </c>
      <c r="B12" s="110" t="s">
        <v>1397</v>
      </c>
      <c r="C12" s="110" t="s">
        <v>1396</v>
      </c>
      <c r="D12" s="110" t="s">
        <v>1386</v>
      </c>
    </row>
    <row r="13" spans="1:4" ht="51">
      <c r="A13" s="110" t="s">
        <v>1398</v>
      </c>
      <c r="B13" s="110" t="s">
        <v>1399</v>
      </c>
      <c r="C13" s="110" t="s">
        <v>1385</v>
      </c>
      <c r="D13" s="110" t="s">
        <v>1386</v>
      </c>
    </row>
    <row r="14" spans="1:4" ht="63.75">
      <c r="A14" s="110" t="s">
        <v>148</v>
      </c>
      <c r="B14" s="110" t="s">
        <v>1400</v>
      </c>
      <c r="C14" s="110" t="s">
        <v>1401</v>
      </c>
      <c r="D14" s="110" t="s">
        <v>1402</v>
      </c>
    </row>
    <row r="15" spans="1:4" ht="38.25">
      <c r="A15" s="110" t="s">
        <v>175</v>
      </c>
      <c r="B15" s="110" t="s">
        <v>1403</v>
      </c>
      <c r="C15" s="110" t="s">
        <v>1393</v>
      </c>
      <c r="D15" s="110" t="s">
        <v>1404</v>
      </c>
    </row>
    <row r="16" spans="1:4" ht="25.5">
      <c r="A16" s="110" t="s">
        <v>187</v>
      </c>
      <c r="B16" s="110" t="s">
        <v>1405</v>
      </c>
      <c r="C16" s="110" t="s">
        <v>1376</v>
      </c>
      <c r="D16" s="110" t="s">
        <v>1377</v>
      </c>
    </row>
    <row r="17" spans="1:4" ht="25.5">
      <c r="A17" s="110" t="s">
        <v>1406</v>
      </c>
      <c r="B17" s="110" t="s">
        <v>1407</v>
      </c>
      <c r="C17" s="110" t="s">
        <v>1376</v>
      </c>
      <c r="D17" s="110" t="s">
        <v>1408</v>
      </c>
    </row>
  </sheetData>
  <mergeCells count="2">
    <mergeCell ref="A1:D1"/>
    <mergeCell ref="A2:D2"/>
  </mergeCells>
  <conditionalFormatting sqref="C5:C17">
    <cfRule type="expression" dxfId="21" priority="1">
      <formula>C5="Follow-up required"</formula>
    </cfRule>
    <cfRule type="expression" dxfId="20" priority="2">
      <formula>C5="Awaiting response"</formula>
    </cfRule>
    <cfRule type="expression" dxfId="19" priority="3">
      <formula>C5="On hold due to a legal constraint"</formula>
    </cfRule>
    <cfRule type="expression" dxfId="18" priority="4">
      <formula>C5="No follow-up currently required"</formula>
    </cfRule>
    <cfRule type="expression" dxfId="17" priority="5">
      <formula>C5="Follow up later"</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00"/>
  <sheetViews>
    <sheetView workbookViewId="0">
      <selection activeCell="E7" sqref="E7"/>
    </sheetView>
  </sheetViews>
  <sheetFormatPr defaultRowHeight="14.25"/>
  <cols>
    <col min="1" max="1" width="32" customWidth="1"/>
    <col min="2" max="2" width="16" customWidth="1"/>
    <col min="3" max="3" width="48" customWidth="1"/>
    <col min="4" max="4" width="44" customWidth="1"/>
    <col min="5" max="6" width="38" customWidth="1"/>
    <col min="7" max="7" width="44" customWidth="1"/>
  </cols>
  <sheetData>
    <row r="1" spans="1:26" ht="27.95" customHeight="1">
      <c r="A1" s="228" t="s">
        <v>1409</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1410</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23</v>
      </c>
      <c r="B4" s="2" t="s">
        <v>1411</v>
      </c>
      <c r="C4" s="2" t="s">
        <v>1412</v>
      </c>
      <c r="D4" s="2" t="s">
        <v>1413</v>
      </c>
      <c r="E4" s="2" t="s">
        <v>1414</v>
      </c>
      <c r="F4" s="2" t="s">
        <v>1415</v>
      </c>
      <c r="G4" s="2" t="s">
        <v>1416</v>
      </c>
      <c r="H4" s="1"/>
      <c r="I4" s="1"/>
      <c r="J4" s="1"/>
      <c r="K4" s="1"/>
      <c r="L4" s="1"/>
      <c r="M4" s="1"/>
      <c r="N4" s="1"/>
      <c r="O4" s="1"/>
      <c r="P4" s="1"/>
      <c r="Q4" s="1"/>
      <c r="R4" s="1"/>
      <c r="S4" s="1"/>
      <c r="T4" s="1"/>
      <c r="U4" s="1"/>
      <c r="V4" s="1"/>
      <c r="W4" s="1"/>
      <c r="X4" s="1"/>
      <c r="Y4" s="1"/>
      <c r="Z4" s="1"/>
    </row>
    <row r="5" spans="1:26" ht="30" customHeight="1">
      <c r="A5" s="3" t="s">
        <v>56</v>
      </c>
      <c r="B5" s="3" t="s">
        <v>1417</v>
      </c>
      <c r="C5" s="5" t="s">
        <v>1418</v>
      </c>
      <c r="D5" s="3" t="s">
        <v>1419</v>
      </c>
      <c r="E5" s="3" t="s">
        <v>1420</v>
      </c>
      <c r="F5" s="3" t="s">
        <v>1421</v>
      </c>
      <c r="G5" s="3" t="s">
        <v>1422</v>
      </c>
      <c r="H5" s="1"/>
      <c r="I5" s="1"/>
      <c r="J5" s="1"/>
      <c r="K5" s="1"/>
      <c r="L5" s="1"/>
      <c r="M5" s="1"/>
      <c r="N5" s="1"/>
      <c r="O5" s="1"/>
      <c r="P5" s="1"/>
      <c r="Q5" s="1"/>
      <c r="R5" s="1"/>
      <c r="S5" s="1"/>
      <c r="T5" s="1"/>
      <c r="U5" s="1"/>
      <c r="V5" s="1"/>
      <c r="W5" s="1"/>
      <c r="X5" s="1"/>
      <c r="Y5" s="1"/>
      <c r="Z5" s="1"/>
    </row>
    <row r="6" spans="1:26" ht="30" customHeight="1">
      <c r="A6" s="3" t="s">
        <v>56</v>
      </c>
      <c r="B6" s="3" t="s">
        <v>1423</v>
      </c>
      <c r="C6" s="3" t="s">
        <v>1424</v>
      </c>
      <c r="D6" s="3" t="s">
        <v>1425</v>
      </c>
      <c r="E6" s="3" t="s">
        <v>1426</v>
      </c>
      <c r="F6" s="3" t="s">
        <v>1427</v>
      </c>
      <c r="G6" s="3" t="s">
        <v>1428</v>
      </c>
      <c r="H6" s="1"/>
      <c r="I6" s="1"/>
      <c r="J6" s="1"/>
      <c r="K6" s="1"/>
      <c r="L6" s="1"/>
      <c r="M6" s="1"/>
      <c r="N6" s="1"/>
      <c r="O6" s="1"/>
      <c r="P6" s="1"/>
      <c r="Q6" s="1"/>
      <c r="R6" s="1"/>
      <c r="S6" s="1"/>
      <c r="T6" s="1"/>
      <c r="U6" s="1"/>
      <c r="V6" s="1"/>
      <c r="W6" s="1"/>
      <c r="X6" s="1"/>
      <c r="Y6" s="1"/>
      <c r="Z6" s="1"/>
    </row>
    <row r="7" spans="1:26" ht="30" customHeight="1">
      <c r="A7" s="3" t="s">
        <v>56</v>
      </c>
      <c r="B7" s="3" t="s">
        <v>1429</v>
      </c>
      <c r="C7" s="3" t="s">
        <v>1430</v>
      </c>
      <c r="D7" s="3" t="s">
        <v>1431</v>
      </c>
      <c r="E7" s="3" t="s">
        <v>1432</v>
      </c>
      <c r="F7" s="3" t="s">
        <v>1433</v>
      </c>
      <c r="G7" s="3" t="s">
        <v>1434</v>
      </c>
      <c r="H7" s="1"/>
      <c r="I7" s="1"/>
      <c r="J7" s="1"/>
      <c r="K7" s="1"/>
      <c r="L7" s="1"/>
      <c r="M7" s="1"/>
      <c r="N7" s="1"/>
      <c r="O7" s="1"/>
      <c r="P7" s="1"/>
      <c r="Q7" s="1"/>
      <c r="R7" s="1"/>
      <c r="S7" s="1"/>
      <c r="T7" s="1"/>
      <c r="U7" s="1"/>
      <c r="V7" s="1"/>
      <c r="W7" s="1"/>
      <c r="X7" s="1"/>
      <c r="Y7" s="1"/>
      <c r="Z7" s="1"/>
    </row>
    <row r="8" spans="1:26" ht="30" customHeight="1">
      <c r="A8" s="3" t="s">
        <v>1435</v>
      </c>
      <c r="B8" s="3" t="s">
        <v>1417</v>
      </c>
      <c r="C8" s="3" t="s">
        <v>1436</v>
      </c>
      <c r="D8" s="3" t="s">
        <v>1437</v>
      </c>
      <c r="E8" s="3" t="s">
        <v>1438</v>
      </c>
      <c r="F8" s="3" t="s">
        <v>1439</v>
      </c>
      <c r="G8" s="3" t="s">
        <v>1440</v>
      </c>
      <c r="H8" s="1"/>
      <c r="I8" s="1"/>
      <c r="J8" s="1"/>
      <c r="K8" s="1"/>
      <c r="L8" s="1"/>
      <c r="M8" s="1"/>
      <c r="N8" s="1"/>
      <c r="O8" s="1"/>
      <c r="P8" s="1"/>
      <c r="Q8" s="1"/>
      <c r="R8" s="1"/>
      <c r="S8" s="1"/>
      <c r="T8" s="1"/>
      <c r="U8" s="1"/>
      <c r="V8" s="1"/>
      <c r="W8" s="1"/>
      <c r="X8" s="1"/>
      <c r="Y8" s="1"/>
      <c r="Z8" s="1"/>
    </row>
    <row r="9" spans="1:26" ht="30" customHeight="1">
      <c r="A9" s="3" t="s">
        <v>1435</v>
      </c>
      <c r="B9" s="3" t="s">
        <v>1423</v>
      </c>
      <c r="C9" s="3" t="s">
        <v>1441</v>
      </c>
      <c r="D9" s="3" t="s">
        <v>1442</v>
      </c>
      <c r="E9" s="3" t="s">
        <v>1443</v>
      </c>
      <c r="F9" s="3" t="s">
        <v>1444</v>
      </c>
      <c r="G9" s="3" t="s">
        <v>1445</v>
      </c>
      <c r="H9" s="1"/>
      <c r="I9" s="1"/>
      <c r="J9" s="1"/>
      <c r="K9" s="1"/>
      <c r="L9" s="1"/>
      <c r="M9" s="1"/>
      <c r="N9" s="1"/>
      <c r="O9" s="1"/>
      <c r="P9" s="1"/>
      <c r="Q9" s="1"/>
      <c r="R9" s="1"/>
      <c r="S9" s="1"/>
      <c r="T9" s="1"/>
      <c r="U9" s="1"/>
      <c r="V9" s="1"/>
      <c r="W9" s="1"/>
      <c r="X9" s="1"/>
      <c r="Y9" s="1"/>
      <c r="Z9" s="1"/>
    </row>
    <row r="10" spans="1:26" ht="30" customHeight="1">
      <c r="A10" s="3" t="s">
        <v>1435</v>
      </c>
      <c r="B10" s="3" t="s">
        <v>1429</v>
      </c>
      <c r="C10" s="3" t="s">
        <v>1446</v>
      </c>
      <c r="D10" s="3" t="s">
        <v>1447</v>
      </c>
      <c r="E10" s="3" t="s">
        <v>1448</v>
      </c>
      <c r="F10" s="3" t="s">
        <v>1449</v>
      </c>
      <c r="G10" s="3" t="s">
        <v>1450</v>
      </c>
      <c r="H10" s="1"/>
      <c r="I10" s="1"/>
      <c r="J10" s="1"/>
      <c r="K10" s="1"/>
      <c r="L10" s="1"/>
      <c r="M10" s="1"/>
      <c r="N10" s="1"/>
      <c r="O10" s="1"/>
      <c r="P10" s="1"/>
      <c r="Q10" s="1"/>
      <c r="R10" s="1"/>
      <c r="S10" s="1"/>
      <c r="T10" s="1"/>
      <c r="U10" s="1"/>
      <c r="V10" s="1"/>
      <c r="W10" s="1"/>
      <c r="X10" s="1"/>
      <c r="Y10" s="1"/>
      <c r="Z10" s="1"/>
    </row>
    <row r="11" spans="1:26" ht="30" customHeight="1">
      <c r="A11" s="3" t="s">
        <v>1451</v>
      </c>
      <c r="B11" s="3" t="s">
        <v>1417</v>
      </c>
      <c r="C11" s="3" t="s">
        <v>1452</v>
      </c>
      <c r="D11" s="3" t="s">
        <v>1453</v>
      </c>
      <c r="E11" s="3" t="s">
        <v>1454</v>
      </c>
      <c r="F11" s="3" t="s">
        <v>1455</v>
      </c>
      <c r="G11" s="3" t="s">
        <v>1456</v>
      </c>
      <c r="H11" s="1"/>
      <c r="I11" s="1"/>
      <c r="J11" s="1"/>
      <c r="K11" s="1"/>
      <c r="L11" s="1"/>
      <c r="M11" s="1"/>
      <c r="N11" s="1"/>
      <c r="O11" s="1"/>
      <c r="P11" s="1"/>
      <c r="Q11" s="1"/>
      <c r="R11" s="1"/>
      <c r="S11" s="1"/>
      <c r="T11" s="1"/>
      <c r="U11" s="1"/>
      <c r="V11" s="1"/>
      <c r="W11" s="1"/>
      <c r="X11" s="1"/>
      <c r="Y11" s="1"/>
      <c r="Z11" s="1"/>
    </row>
    <row r="12" spans="1:26" ht="30" customHeight="1">
      <c r="A12" s="3" t="s">
        <v>1451</v>
      </c>
      <c r="B12" s="3" t="s">
        <v>1423</v>
      </c>
      <c r="C12" s="3" t="s">
        <v>1457</v>
      </c>
      <c r="D12" s="3" t="s">
        <v>1458</v>
      </c>
      <c r="E12" s="3" t="s">
        <v>1459</v>
      </c>
      <c r="F12" s="3" t="s">
        <v>1460</v>
      </c>
      <c r="G12" s="3" t="s">
        <v>1461</v>
      </c>
      <c r="H12" s="1"/>
      <c r="I12" s="1"/>
      <c r="J12" s="1"/>
      <c r="K12" s="1"/>
      <c r="L12" s="1"/>
      <c r="M12" s="1"/>
      <c r="N12" s="1"/>
      <c r="O12" s="1"/>
      <c r="P12" s="1"/>
      <c r="Q12" s="1"/>
      <c r="R12" s="1"/>
      <c r="S12" s="1"/>
      <c r="T12" s="1"/>
      <c r="U12" s="1"/>
      <c r="V12" s="1"/>
      <c r="W12" s="1"/>
      <c r="X12" s="1"/>
      <c r="Y12" s="1"/>
      <c r="Z12" s="1"/>
    </row>
    <row r="13" spans="1:26" ht="30" customHeight="1">
      <c r="A13" s="3" t="s">
        <v>1451</v>
      </c>
      <c r="B13" s="3" t="s">
        <v>1429</v>
      </c>
      <c r="C13" s="3" t="s">
        <v>1462</v>
      </c>
      <c r="D13" s="3" t="s">
        <v>1463</v>
      </c>
      <c r="E13" s="3" t="s">
        <v>1464</v>
      </c>
      <c r="F13" s="3" t="s">
        <v>1465</v>
      </c>
      <c r="G13" s="3" t="s">
        <v>1466</v>
      </c>
      <c r="H13" s="1"/>
      <c r="I13" s="1"/>
      <c r="J13" s="1"/>
      <c r="K13" s="1"/>
      <c r="L13" s="1"/>
      <c r="M13" s="1"/>
      <c r="N13" s="1"/>
      <c r="O13" s="1"/>
      <c r="P13" s="1"/>
      <c r="Q13" s="1"/>
      <c r="R13" s="1"/>
      <c r="S13" s="1"/>
      <c r="T13" s="1"/>
      <c r="U13" s="1"/>
      <c r="V13" s="1"/>
      <c r="W13" s="1"/>
      <c r="X13" s="1"/>
      <c r="Y13" s="1"/>
      <c r="Z13" s="1"/>
    </row>
    <row r="14" spans="1:26" ht="30" customHeight="1">
      <c r="A14" s="3" t="s">
        <v>1467</v>
      </c>
      <c r="B14" s="3" t="s">
        <v>1417</v>
      </c>
      <c r="C14" s="3" t="s">
        <v>1468</v>
      </c>
      <c r="D14" s="3" t="s">
        <v>1469</v>
      </c>
      <c r="E14" s="3" t="s">
        <v>1470</v>
      </c>
      <c r="F14" s="3" t="s">
        <v>1471</v>
      </c>
      <c r="G14" s="3" t="s">
        <v>1472</v>
      </c>
      <c r="H14" s="1"/>
      <c r="I14" s="1"/>
      <c r="J14" s="1"/>
      <c r="K14" s="1"/>
      <c r="L14" s="1"/>
      <c r="M14" s="1"/>
      <c r="N14" s="1"/>
      <c r="O14" s="1"/>
      <c r="P14" s="1"/>
      <c r="Q14" s="1"/>
      <c r="R14" s="1"/>
      <c r="S14" s="1"/>
      <c r="T14" s="1"/>
      <c r="U14" s="1"/>
      <c r="V14" s="1"/>
      <c r="W14" s="1"/>
      <c r="X14" s="1"/>
      <c r="Y14" s="1"/>
      <c r="Z14" s="1"/>
    </row>
    <row r="15" spans="1:26" ht="30" customHeight="1">
      <c r="A15" s="3" t="s">
        <v>1467</v>
      </c>
      <c r="B15" s="3" t="s">
        <v>1423</v>
      </c>
      <c r="C15" s="3" t="s">
        <v>1473</v>
      </c>
      <c r="D15" s="3" t="s">
        <v>1474</v>
      </c>
      <c r="E15" s="3" t="s">
        <v>1475</v>
      </c>
      <c r="F15" s="3" t="s">
        <v>1476</v>
      </c>
      <c r="G15" s="3" t="s">
        <v>1477</v>
      </c>
      <c r="H15" s="1"/>
      <c r="I15" s="1"/>
      <c r="J15" s="1"/>
      <c r="K15" s="1"/>
      <c r="L15" s="1"/>
      <c r="M15" s="1"/>
      <c r="N15" s="1"/>
      <c r="O15" s="1"/>
      <c r="P15" s="1"/>
      <c r="Q15" s="1"/>
      <c r="R15" s="1"/>
      <c r="S15" s="1"/>
      <c r="T15" s="1"/>
      <c r="U15" s="1"/>
      <c r="V15" s="1"/>
      <c r="W15" s="1"/>
      <c r="X15" s="1"/>
      <c r="Y15" s="1"/>
      <c r="Z15" s="1"/>
    </row>
    <row r="16" spans="1:26" ht="30" customHeight="1">
      <c r="A16" s="3" t="s">
        <v>1467</v>
      </c>
      <c r="B16" s="3" t="s">
        <v>1429</v>
      </c>
      <c r="C16" s="3" t="s">
        <v>1478</v>
      </c>
      <c r="D16" s="3" t="s">
        <v>1479</v>
      </c>
      <c r="E16" s="3" t="s">
        <v>1480</v>
      </c>
      <c r="F16" s="3" t="s">
        <v>1481</v>
      </c>
      <c r="G16" s="3" t="s">
        <v>1482</v>
      </c>
      <c r="H16" s="1"/>
      <c r="I16" s="1"/>
      <c r="J16" s="1"/>
      <c r="K16" s="1"/>
      <c r="L16" s="1"/>
      <c r="M16" s="1"/>
      <c r="N16" s="1"/>
      <c r="O16" s="1"/>
      <c r="P16" s="1"/>
      <c r="Q16" s="1"/>
      <c r="R16" s="1"/>
      <c r="S16" s="1"/>
      <c r="T16" s="1"/>
      <c r="U16" s="1"/>
      <c r="V16" s="1"/>
      <c r="W16" s="1"/>
      <c r="X16" s="1"/>
      <c r="Y16" s="1"/>
      <c r="Z16" s="1"/>
    </row>
    <row r="17" spans="1:26" ht="30" customHeight="1">
      <c r="A17" s="3" t="s">
        <v>277</v>
      </c>
      <c r="B17" s="3" t="s">
        <v>1417</v>
      </c>
      <c r="C17" s="3" t="s">
        <v>1483</v>
      </c>
      <c r="D17" s="3" t="s">
        <v>1484</v>
      </c>
      <c r="E17" s="3" t="s">
        <v>1485</v>
      </c>
      <c r="F17" s="3" t="s">
        <v>1486</v>
      </c>
      <c r="G17" s="3" t="s">
        <v>1472</v>
      </c>
      <c r="H17" s="1"/>
      <c r="I17" s="1"/>
      <c r="J17" s="1"/>
      <c r="K17" s="1"/>
      <c r="L17" s="1"/>
      <c r="M17" s="1"/>
      <c r="N17" s="1"/>
      <c r="O17" s="1"/>
      <c r="P17" s="1"/>
      <c r="Q17" s="1"/>
      <c r="R17" s="1"/>
      <c r="S17" s="1"/>
      <c r="T17" s="1"/>
      <c r="U17" s="1"/>
      <c r="V17" s="1"/>
      <c r="W17" s="1"/>
      <c r="X17" s="1"/>
      <c r="Y17" s="1"/>
      <c r="Z17" s="1"/>
    </row>
    <row r="18" spans="1:26" ht="30" customHeight="1">
      <c r="A18" s="3" t="s">
        <v>277</v>
      </c>
      <c r="B18" s="3" t="s">
        <v>1423</v>
      </c>
      <c r="C18" s="3" t="s">
        <v>1487</v>
      </c>
      <c r="D18" s="3" t="s">
        <v>1488</v>
      </c>
      <c r="E18" s="3" t="s">
        <v>1489</v>
      </c>
      <c r="F18" s="3" t="s">
        <v>1490</v>
      </c>
      <c r="G18" s="3" t="s">
        <v>1491</v>
      </c>
      <c r="H18" s="1"/>
      <c r="I18" s="1"/>
      <c r="J18" s="1"/>
      <c r="K18" s="1"/>
      <c r="L18" s="1"/>
      <c r="M18" s="1"/>
      <c r="N18" s="1"/>
      <c r="O18" s="1"/>
      <c r="P18" s="1"/>
      <c r="Q18" s="1"/>
      <c r="R18" s="1"/>
      <c r="S18" s="1"/>
      <c r="T18" s="1"/>
      <c r="U18" s="1"/>
      <c r="V18" s="1"/>
      <c r="W18" s="1"/>
      <c r="X18" s="1"/>
      <c r="Y18" s="1"/>
      <c r="Z18" s="1"/>
    </row>
    <row r="19" spans="1:26" ht="30" customHeight="1">
      <c r="A19" s="3" t="s">
        <v>277</v>
      </c>
      <c r="B19" s="3" t="s">
        <v>1429</v>
      </c>
      <c r="C19" s="3" t="s">
        <v>1492</v>
      </c>
      <c r="D19" s="3" t="s">
        <v>1493</v>
      </c>
      <c r="E19" s="3" t="s">
        <v>1494</v>
      </c>
      <c r="F19" s="3" t="s">
        <v>1495</v>
      </c>
      <c r="G19" s="3" t="s">
        <v>1496</v>
      </c>
      <c r="H19" s="1"/>
      <c r="I19" s="1"/>
      <c r="J19" s="1"/>
      <c r="K19" s="1"/>
      <c r="L19" s="1"/>
      <c r="M19" s="1"/>
      <c r="N19" s="1"/>
      <c r="O19" s="1"/>
      <c r="P19" s="1"/>
      <c r="Q19" s="1"/>
      <c r="R19" s="1"/>
      <c r="S19" s="1"/>
      <c r="T19" s="1"/>
      <c r="U19" s="1"/>
      <c r="V19" s="1"/>
      <c r="W19" s="1"/>
      <c r="X19" s="1"/>
      <c r="Y19" s="1"/>
      <c r="Z19" s="1"/>
    </row>
    <row r="20" spans="1:26" ht="30" customHeight="1">
      <c r="A20" s="3" t="s">
        <v>136</v>
      </c>
      <c r="B20" s="3" t="s">
        <v>1417</v>
      </c>
      <c r="C20" s="3" t="s">
        <v>1497</v>
      </c>
      <c r="D20" s="3" t="s">
        <v>1498</v>
      </c>
      <c r="E20" s="3" t="s">
        <v>1499</v>
      </c>
      <c r="F20" s="3" t="s">
        <v>1500</v>
      </c>
      <c r="G20" s="3" t="s">
        <v>1472</v>
      </c>
      <c r="H20" s="1"/>
      <c r="I20" s="1"/>
      <c r="J20" s="1"/>
      <c r="K20" s="1"/>
      <c r="L20" s="1"/>
      <c r="M20" s="1"/>
      <c r="N20" s="1"/>
      <c r="O20" s="1"/>
      <c r="P20" s="1"/>
      <c r="Q20" s="1"/>
      <c r="R20" s="1"/>
      <c r="S20" s="1"/>
      <c r="T20" s="1"/>
      <c r="U20" s="1"/>
      <c r="V20" s="1"/>
      <c r="W20" s="1"/>
      <c r="X20" s="1"/>
      <c r="Y20" s="1"/>
      <c r="Z20" s="1"/>
    </row>
    <row r="21" spans="1:26" ht="30" customHeight="1">
      <c r="A21" s="3" t="s">
        <v>136</v>
      </c>
      <c r="B21" s="3" t="s">
        <v>1423</v>
      </c>
      <c r="C21" s="3" t="s">
        <v>1501</v>
      </c>
      <c r="D21" s="3" t="s">
        <v>1502</v>
      </c>
      <c r="E21" s="3" t="s">
        <v>1503</v>
      </c>
      <c r="F21" s="3" t="s">
        <v>1504</v>
      </c>
      <c r="G21" s="3" t="s">
        <v>1461</v>
      </c>
      <c r="H21" s="1"/>
      <c r="I21" s="1"/>
      <c r="J21" s="1"/>
      <c r="K21" s="1"/>
      <c r="L21" s="1"/>
      <c r="M21" s="1"/>
      <c r="N21" s="1"/>
      <c r="O21" s="1"/>
      <c r="P21" s="1"/>
      <c r="Q21" s="1"/>
      <c r="R21" s="1"/>
      <c r="S21" s="1"/>
      <c r="T21" s="1"/>
      <c r="U21" s="1"/>
      <c r="V21" s="1"/>
      <c r="W21" s="1"/>
      <c r="X21" s="1"/>
      <c r="Y21" s="1"/>
      <c r="Z21" s="1"/>
    </row>
    <row r="22" spans="1:26" ht="30" customHeight="1">
      <c r="A22" s="3" t="s">
        <v>136</v>
      </c>
      <c r="B22" s="3" t="s">
        <v>1429</v>
      </c>
      <c r="C22" s="3" t="s">
        <v>1505</v>
      </c>
      <c r="D22" s="3" t="s">
        <v>1506</v>
      </c>
      <c r="E22" s="3" t="s">
        <v>1507</v>
      </c>
      <c r="F22" s="3" t="s">
        <v>1508</v>
      </c>
      <c r="G22" s="3" t="s">
        <v>1509</v>
      </c>
      <c r="H22" s="1"/>
      <c r="I22" s="1"/>
      <c r="J22" s="1"/>
      <c r="K22" s="1"/>
      <c r="L22" s="1"/>
      <c r="M22" s="1"/>
      <c r="N22" s="1"/>
      <c r="O22" s="1"/>
      <c r="P22" s="1"/>
      <c r="Q22" s="1"/>
      <c r="R22" s="1"/>
      <c r="S22" s="1"/>
      <c r="T22" s="1"/>
      <c r="U22" s="1"/>
      <c r="V22" s="1"/>
      <c r="W22" s="1"/>
      <c r="X22" s="1"/>
      <c r="Y22" s="1"/>
      <c r="Z22" s="1"/>
    </row>
    <row r="23" spans="1:26" ht="30" customHeight="1">
      <c r="A23" s="3" t="s">
        <v>289</v>
      </c>
      <c r="B23" s="3" t="s">
        <v>1417</v>
      </c>
      <c r="C23" s="3" t="s">
        <v>1510</v>
      </c>
      <c r="D23" s="3" t="s">
        <v>1511</v>
      </c>
      <c r="E23" s="3" t="s">
        <v>1512</v>
      </c>
      <c r="F23" s="3" t="s">
        <v>1513</v>
      </c>
      <c r="G23" s="3" t="s">
        <v>1472</v>
      </c>
      <c r="H23" s="1"/>
      <c r="I23" s="1"/>
      <c r="J23" s="1"/>
      <c r="K23" s="1"/>
      <c r="L23" s="1"/>
      <c r="M23" s="1"/>
      <c r="N23" s="1"/>
      <c r="O23" s="1"/>
      <c r="P23" s="1"/>
      <c r="Q23" s="1"/>
      <c r="R23" s="1"/>
      <c r="S23" s="1"/>
      <c r="T23" s="1"/>
      <c r="U23" s="1"/>
      <c r="V23" s="1"/>
      <c r="W23" s="1"/>
      <c r="X23" s="1"/>
      <c r="Y23" s="1"/>
      <c r="Z23" s="1"/>
    </row>
    <row r="24" spans="1:26" ht="30" customHeight="1">
      <c r="A24" s="3" t="s">
        <v>289</v>
      </c>
      <c r="B24" s="3" t="s">
        <v>1423</v>
      </c>
      <c r="C24" s="3" t="s">
        <v>1514</v>
      </c>
      <c r="D24" s="3" t="s">
        <v>1515</v>
      </c>
      <c r="E24" s="3" t="s">
        <v>1516</v>
      </c>
      <c r="F24" s="3" t="s">
        <v>1517</v>
      </c>
      <c r="G24" s="3" t="s">
        <v>1518</v>
      </c>
      <c r="H24" s="1"/>
      <c r="I24" s="1"/>
      <c r="J24" s="1"/>
      <c r="K24" s="1"/>
      <c r="L24" s="1"/>
      <c r="M24" s="1"/>
      <c r="N24" s="1"/>
      <c r="O24" s="1"/>
      <c r="P24" s="1"/>
      <c r="Q24" s="1"/>
      <c r="R24" s="1"/>
      <c r="S24" s="1"/>
      <c r="T24" s="1"/>
      <c r="U24" s="1"/>
      <c r="V24" s="1"/>
      <c r="W24" s="1"/>
      <c r="X24" s="1"/>
      <c r="Y24" s="1"/>
      <c r="Z24" s="1"/>
    </row>
    <row r="25" spans="1:26" ht="30" customHeight="1">
      <c r="A25" s="3" t="s">
        <v>289</v>
      </c>
      <c r="B25" s="3" t="s">
        <v>1429</v>
      </c>
      <c r="C25" s="3" t="s">
        <v>1519</v>
      </c>
      <c r="D25" s="3" t="s">
        <v>1520</v>
      </c>
      <c r="E25" s="3" t="s">
        <v>1521</v>
      </c>
      <c r="F25" s="3" t="s">
        <v>1522</v>
      </c>
      <c r="G25" s="3" t="s">
        <v>1523</v>
      </c>
      <c r="H25" s="1"/>
      <c r="I25" s="1"/>
      <c r="J25" s="1"/>
      <c r="K25" s="1"/>
      <c r="L25" s="1"/>
      <c r="M25" s="1"/>
      <c r="N25" s="1"/>
      <c r="O25" s="1"/>
      <c r="P25" s="1"/>
      <c r="Q25" s="1"/>
      <c r="R25" s="1"/>
      <c r="S25" s="1"/>
      <c r="T25" s="1"/>
      <c r="U25" s="1"/>
      <c r="V25" s="1"/>
      <c r="W25" s="1"/>
      <c r="X25" s="1"/>
      <c r="Y25" s="1"/>
      <c r="Z25" s="1"/>
    </row>
    <row r="26" spans="1:26" ht="30" customHeight="1">
      <c r="A26" s="3" t="s">
        <v>148</v>
      </c>
      <c r="B26" s="3" t="s">
        <v>1417</v>
      </c>
      <c r="C26" s="3" t="s">
        <v>1524</v>
      </c>
      <c r="D26" s="3" t="s">
        <v>1525</v>
      </c>
      <c r="E26" s="3" t="s">
        <v>1526</v>
      </c>
      <c r="F26" s="3" t="s">
        <v>1527</v>
      </c>
      <c r="G26" s="3" t="s">
        <v>1472</v>
      </c>
      <c r="H26" s="1"/>
      <c r="I26" s="1"/>
      <c r="J26" s="1"/>
      <c r="K26" s="1"/>
      <c r="L26" s="1"/>
      <c r="M26" s="1"/>
      <c r="N26" s="1"/>
      <c r="O26" s="1"/>
      <c r="P26" s="1"/>
      <c r="Q26" s="1"/>
      <c r="R26" s="1"/>
      <c r="S26" s="1"/>
      <c r="T26" s="1"/>
      <c r="U26" s="1"/>
      <c r="V26" s="1"/>
      <c r="W26" s="1"/>
      <c r="X26" s="1"/>
      <c r="Y26" s="1"/>
      <c r="Z26" s="1"/>
    </row>
    <row r="27" spans="1:26" ht="30" customHeight="1">
      <c r="A27" s="3" t="s">
        <v>148</v>
      </c>
      <c r="B27" s="3" t="s">
        <v>1423</v>
      </c>
      <c r="C27" s="3" t="s">
        <v>1528</v>
      </c>
      <c r="D27" s="3" t="s">
        <v>1529</v>
      </c>
      <c r="E27" s="3" t="s">
        <v>1530</v>
      </c>
      <c r="F27" s="3" t="s">
        <v>1531</v>
      </c>
      <c r="G27" s="3" t="s">
        <v>1532</v>
      </c>
      <c r="H27" s="1"/>
      <c r="I27" s="1"/>
      <c r="J27" s="1"/>
      <c r="K27" s="1"/>
      <c r="L27" s="1"/>
      <c r="M27" s="1"/>
      <c r="N27" s="1"/>
      <c r="O27" s="1"/>
      <c r="P27" s="1"/>
      <c r="Q27" s="1"/>
      <c r="R27" s="1"/>
      <c r="S27" s="1"/>
      <c r="T27" s="1"/>
      <c r="U27" s="1"/>
      <c r="V27" s="1"/>
      <c r="W27" s="1"/>
      <c r="X27" s="1"/>
      <c r="Y27" s="1"/>
      <c r="Z27" s="1"/>
    </row>
    <row r="28" spans="1:26" ht="30" customHeight="1">
      <c r="A28" s="3" t="s">
        <v>148</v>
      </c>
      <c r="B28" s="3" t="s">
        <v>1429</v>
      </c>
      <c r="C28" s="3" t="s">
        <v>1533</v>
      </c>
      <c r="D28" s="3" t="s">
        <v>1534</v>
      </c>
      <c r="E28" s="3" t="s">
        <v>1535</v>
      </c>
      <c r="F28" s="3" t="s">
        <v>1481</v>
      </c>
      <c r="G28" s="3" t="s">
        <v>1536</v>
      </c>
      <c r="H28" s="1"/>
      <c r="I28" s="1"/>
      <c r="J28" s="1"/>
      <c r="K28" s="1"/>
      <c r="L28" s="1"/>
      <c r="M28" s="1"/>
      <c r="N28" s="1"/>
      <c r="O28" s="1"/>
      <c r="P28" s="1"/>
      <c r="Q28" s="1"/>
      <c r="R28" s="1"/>
      <c r="S28" s="1"/>
      <c r="T28" s="1"/>
      <c r="U28" s="1"/>
      <c r="V28" s="1"/>
      <c r="W28" s="1"/>
      <c r="X28" s="1"/>
      <c r="Y28" s="1"/>
      <c r="Z28" s="1"/>
    </row>
    <row r="29" spans="1:26" ht="30" customHeight="1">
      <c r="A29" s="3" t="s">
        <v>301</v>
      </c>
      <c r="B29" s="3" t="s">
        <v>1417</v>
      </c>
      <c r="C29" s="3" t="s">
        <v>1537</v>
      </c>
      <c r="D29" s="3" t="s">
        <v>1538</v>
      </c>
      <c r="E29" s="3" t="s">
        <v>1539</v>
      </c>
      <c r="F29" s="3" t="s">
        <v>1540</v>
      </c>
      <c r="G29" s="3" t="s">
        <v>1472</v>
      </c>
      <c r="H29" s="1"/>
      <c r="I29" s="1"/>
      <c r="J29" s="1"/>
      <c r="K29" s="1"/>
      <c r="L29" s="1"/>
      <c r="M29" s="1"/>
      <c r="N29" s="1"/>
      <c r="O29" s="1"/>
      <c r="P29" s="1"/>
      <c r="Q29" s="1"/>
      <c r="R29" s="1"/>
      <c r="S29" s="1"/>
      <c r="T29" s="1"/>
      <c r="U29" s="1"/>
      <c r="V29" s="1"/>
      <c r="W29" s="1"/>
      <c r="X29" s="1"/>
      <c r="Y29" s="1"/>
      <c r="Z29" s="1"/>
    </row>
    <row r="30" spans="1:26" ht="30" customHeight="1">
      <c r="A30" s="3" t="s">
        <v>301</v>
      </c>
      <c r="B30" s="3" t="s">
        <v>1423</v>
      </c>
      <c r="C30" s="3" t="s">
        <v>1541</v>
      </c>
      <c r="D30" s="3" t="s">
        <v>1542</v>
      </c>
      <c r="E30" s="3" t="s">
        <v>1543</v>
      </c>
      <c r="F30" s="3" t="s">
        <v>1544</v>
      </c>
      <c r="G30" s="3" t="s">
        <v>1545</v>
      </c>
      <c r="H30" s="1"/>
      <c r="I30" s="1"/>
      <c r="J30" s="1"/>
      <c r="K30" s="1"/>
      <c r="L30" s="1"/>
      <c r="M30" s="1"/>
      <c r="N30" s="1"/>
      <c r="O30" s="1"/>
      <c r="P30" s="1"/>
      <c r="Q30" s="1"/>
      <c r="R30" s="1"/>
      <c r="S30" s="1"/>
      <c r="T30" s="1"/>
      <c r="U30" s="1"/>
      <c r="V30" s="1"/>
      <c r="W30" s="1"/>
      <c r="X30" s="1"/>
      <c r="Y30" s="1"/>
      <c r="Z30" s="1"/>
    </row>
    <row r="31" spans="1:26" ht="30" customHeight="1">
      <c r="A31" s="3" t="s">
        <v>301</v>
      </c>
      <c r="B31" s="3" t="s">
        <v>1429</v>
      </c>
      <c r="C31" s="3" t="s">
        <v>1546</v>
      </c>
      <c r="D31" s="3" t="s">
        <v>1547</v>
      </c>
      <c r="E31" s="3" t="s">
        <v>1548</v>
      </c>
      <c r="F31" s="3" t="s">
        <v>1549</v>
      </c>
      <c r="G31" s="3" t="s">
        <v>1550</v>
      </c>
      <c r="H31" s="1"/>
      <c r="I31" s="1"/>
      <c r="J31" s="1"/>
      <c r="K31" s="1"/>
      <c r="L31" s="1"/>
      <c r="M31" s="1"/>
      <c r="N31" s="1"/>
      <c r="O31" s="1"/>
      <c r="P31" s="1"/>
      <c r="Q31" s="1"/>
      <c r="R31" s="1"/>
      <c r="S31" s="1"/>
      <c r="T31" s="1"/>
      <c r="U31" s="1"/>
      <c r="V31" s="1"/>
      <c r="W31" s="1"/>
      <c r="X31" s="1"/>
      <c r="Y31" s="1"/>
      <c r="Z31" s="1"/>
    </row>
    <row r="32" spans="1:26" ht="30" customHeight="1">
      <c r="A32" s="3" t="s">
        <v>1551</v>
      </c>
      <c r="B32" s="3" t="s">
        <v>1417</v>
      </c>
      <c r="C32" s="3" t="s">
        <v>1552</v>
      </c>
      <c r="D32" s="3" t="s">
        <v>1553</v>
      </c>
      <c r="E32" s="3" t="s">
        <v>1554</v>
      </c>
      <c r="F32" s="3" t="s">
        <v>1555</v>
      </c>
      <c r="G32" s="3" t="s">
        <v>1472</v>
      </c>
      <c r="H32" s="1"/>
      <c r="I32" s="1"/>
      <c r="J32" s="1"/>
      <c r="K32" s="1"/>
      <c r="L32" s="1"/>
      <c r="M32" s="1"/>
      <c r="N32" s="1"/>
      <c r="O32" s="1"/>
      <c r="P32" s="1"/>
      <c r="Q32" s="1"/>
      <c r="R32" s="1"/>
      <c r="S32" s="1"/>
      <c r="T32" s="1"/>
      <c r="U32" s="1"/>
      <c r="V32" s="1"/>
      <c r="W32" s="1"/>
      <c r="X32" s="1"/>
      <c r="Y32" s="1"/>
      <c r="Z32" s="1"/>
    </row>
    <row r="33" spans="1:26" ht="30" customHeight="1">
      <c r="A33" s="3" t="s">
        <v>1551</v>
      </c>
      <c r="B33" s="3" t="s">
        <v>1423</v>
      </c>
      <c r="C33" s="3" t="s">
        <v>1556</v>
      </c>
      <c r="D33" s="3" t="s">
        <v>1557</v>
      </c>
      <c r="E33" s="3" t="s">
        <v>1558</v>
      </c>
      <c r="F33" s="3" t="s">
        <v>1559</v>
      </c>
      <c r="G33" s="3" t="s">
        <v>1560</v>
      </c>
      <c r="H33" s="1"/>
      <c r="I33" s="1"/>
      <c r="J33" s="1"/>
      <c r="K33" s="1"/>
      <c r="L33" s="1"/>
      <c r="M33" s="1"/>
      <c r="N33" s="1"/>
      <c r="O33" s="1"/>
      <c r="P33" s="1"/>
      <c r="Q33" s="1"/>
      <c r="R33" s="1"/>
      <c r="S33" s="1"/>
      <c r="T33" s="1"/>
      <c r="U33" s="1"/>
      <c r="V33" s="1"/>
      <c r="W33" s="1"/>
      <c r="X33" s="1"/>
      <c r="Y33" s="1"/>
      <c r="Z33" s="1"/>
    </row>
    <row r="34" spans="1:26" ht="30" customHeight="1">
      <c r="A34" s="3" t="s">
        <v>1551</v>
      </c>
      <c r="B34" s="3" t="s">
        <v>1429</v>
      </c>
      <c r="C34" s="3" t="s">
        <v>1561</v>
      </c>
      <c r="D34" s="3" t="s">
        <v>1562</v>
      </c>
      <c r="E34" s="3" t="s">
        <v>1563</v>
      </c>
      <c r="F34" s="3" t="s">
        <v>1564</v>
      </c>
      <c r="G34" s="3" t="s">
        <v>1565</v>
      </c>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conditionalFormatting sqref="B5:B34">
    <cfRule type="expression" dxfId="16" priority="1">
      <formula>B5="Best-Case"</formula>
    </cfRule>
    <cfRule type="expression" dxfId="15" priority="2">
      <formula>B5="Most-Likely"</formula>
    </cfRule>
    <cfRule type="expression" dxfId="14" priority="3">
      <formula>B5="Worst-Case"</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00"/>
  <sheetViews>
    <sheetView topLeftCell="A5" workbookViewId="0">
      <selection sqref="A1:L1"/>
    </sheetView>
  </sheetViews>
  <sheetFormatPr defaultRowHeight="14.25"/>
  <cols>
    <col min="1" max="1" width="36" customWidth="1"/>
    <col min="2" max="4" width="15" customWidth="1"/>
    <col min="5" max="5" width="20" customWidth="1"/>
    <col min="6" max="6" width="14" customWidth="1"/>
    <col min="7" max="7" width="20" customWidth="1"/>
    <col min="8" max="8" width="18" customWidth="1"/>
    <col min="9" max="9" width="60" customWidth="1"/>
  </cols>
  <sheetData>
    <row r="1" spans="1:26" ht="27.95" customHeight="1">
      <c r="A1" s="228" t="s">
        <v>1566</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1567</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23</v>
      </c>
      <c r="B4" s="2" t="s">
        <v>1568</v>
      </c>
      <c r="C4" s="2" t="s">
        <v>1569</v>
      </c>
      <c r="D4" s="2" t="s">
        <v>1570</v>
      </c>
      <c r="E4" s="2" t="s">
        <v>1571</v>
      </c>
      <c r="F4" s="2" t="s">
        <v>1572</v>
      </c>
      <c r="G4" s="2" t="s">
        <v>1573</v>
      </c>
      <c r="H4" s="2" t="s">
        <v>1574</v>
      </c>
      <c r="I4" s="2" t="s">
        <v>1575</v>
      </c>
      <c r="J4" s="1"/>
      <c r="K4" s="1"/>
      <c r="L4" s="1"/>
      <c r="M4" s="1"/>
      <c r="N4" s="1"/>
      <c r="O4" s="1"/>
      <c r="P4" s="1"/>
      <c r="Q4" s="1"/>
      <c r="R4" s="1"/>
      <c r="S4" s="1"/>
      <c r="T4" s="1"/>
      <c r="U4" s="1"/>
      <c r="V4" s="1"/>
      <c r="W4" s="1"/>
      <c r="X4" s="1"/>
      <c r="Y4" s="1"/>
      <c r="Z4" s="1"/>
    </row>
    <row r="5" spans="1:26" ht="30" customHeight="1">
      <c r="A5" s="3" t="s">
        <v>40</v>
      </c>
      <c r="B5" s="3">
        <v>5</v>
      </c>
      <c r="C5" s="3">
        <v>5</v>
      </c>
      <c r="D5" s="3">
        <v>5</v>
      </c>
      <c r="E5" s="3">
        <v>5</v>
      </c>
      <c r="F5" s="3">
        <f t="shared" ref="F5:F22" si="0">SUM(B5:E5)</f>
        <v>20</v>
      </c>
      <c r="G5" s="3" t="str">
        <f t="shared" ref="G5:G22" si="1">IF(AND(B5&gt;=4,C5&gt;=4),"Manage Closely",IF(AND(B5&gt;=4,C5&lt;4),"Keep Satisfied",IF(AND(B5&lt;4,C5&gt;=4),"Keep Informed","Monitor")))</f>
        <v>Manage Closely</v>
      </c>
      <c r="H5" s="3" t="str">
        <f t="shared" ref="H5:H22" si="2">IF(F5&gt;=18,"Critical",IF(F5&gt;=14,"High",IF(F5&gt;=10,"Medium","Low")))</f>
        <v>Critical</v>
      </c>
      <c r="I5" s="3" t="s">
        <v>1576</v>
      </c>
      <c r="J5" s="1"/>
      <c r="K5" s="1"/>
      <c r="L5" s="1"/>
      <c r="M5" s="1"/>
      <c r="N5" s="1"/>
      <c r="O5" s="1"/>
      <c r="P5" s="1"/>
      <c r="Q5" s="1"/>
      <c r="R5" s="1"/>
      <c r="S5" s="1"/>
      <c r="T5" s="1"/>
      <c r="U5" s="1"/>
      <c r="V5" s="1"/>
      <c r="W5" s="1"/>
      <c r="X5" s="1"/>
      <c r="Y5" s="1"/>
      <c r="Z5" s="1"/>
    </row>
    <row r="6" spans="1:26" ht="30" customHeight="1">
      <c r="A6" s="3" t="s">
        <v>56</v>
      </c>
      <c r="B6" s="3">
        <v>5</v>
      </c>
      <c r="C6" s="3">
        <v>5</v>
      </c>
      <c r="D6" s="3">
        <v>5</v>
      </c>
      <c r="E6" s="3">
        <v>5</v>
      </c>
      <c r="F6" s="3">
        <f t="shared" si="0"/>
        <v>20</v>
      </c>
      <c r="G6" s="3" t="str">
        <f t="shared" si="1"/>
        <v>Manage Closely</v>
      </c>
      <c r="H6" s="3" t="str">
        <f t="shared" si="2"/>
        <v>Critical</v>
      </c>
      <c r="I6" s="3" t="s">
        <v>1577</v>
      </c>
      <c r="J6" s="1"/>
      <c r="K6" s="1"/>
      <c r="L6" s="1"/>
      <c r="M6" s="1"/>
      <c r="N6" s="1"/>
      <c r="O6" s="1"/>
      <c r="P6" s="1"/>
      <c r="Q6" s="1"/>
      <c r="R6" s="1"/>
      <c r="S6" s="1"/>
      <c r="T6" s="1"/>
      <c r="U6" s="1"/>
      <c r="V6" s="1"/>
      <c r="W6" s="1"/>
      <c r="X6" s="1"/>
      <c r="Y6" s="1"/>
      <c r="Z6" s="1"/>
    </row>
    <row r="7" spans="1:26" ht="30" customHeight="1">
      <c r="A7" s="3" t="s">
        <v>1435</v>
      </c>
      <c r="B7" s="3">
        <v>5</v>
      </c>
      <c r="C7" s="3">
        <v>5</v>
      </c>
      <c r="D7" s="3">
        <v>5</v>
      </c>
      <c r="E7" s="3">
        <v>5</v>
      </c>
      <c r="F7" s="3">
        <f t="shared" si="0"/>
        <v>20</v>
      </c>
      <c r="G7" s="3" t="str">
        <f t="shared" si="1"/>
        <v>Manage Closely</v>
      </c>
      <c r="H7" s="3" t="str">
        <f t="shared" si="2"/>
        <v>Critical</v>
      </c>
      <c r="I7" s="3" t="s">
        <v>1578</v>
      </c>
      <c r="J7" s="1"/>
      <c r="K7" s="1"/>
      <c r="L7" s="1"/>
      <c r="M7" s="1"/>
      <c r="N7" s="1"/>
      <c r="O7" s="1"/>
      <c r="P7" s="1"/>
      <c r="Q7" s="1"/>
      <c r="R7" s="1"/>
      <c r="S7" s="1"/>
      <c r="T7" s="1"/>
      <c r="U7" s="1"/>
      <c r="V7" s="1"/>
      <c r="W7" s="1"/>
      <c r="X7" s="1"/>
      <c r="Y7" s="1"/>
      <c r="Z7" s="1"/>
    </row>
    <row r="8" spans="1:26" ht="30" customHeight="1">
      <c r="A8" s="3" t="s">
        <v>1579</v>
      </c>
      <c r="B8" s="3">
        <v>5</v>
      </c>
      <c r="C8" s="3">
        <v>5</v>
      </c>
      <c r="D8" s="3">
        <v>5</v>
      </c>
      <c r="E8" s="3">
        <v>5</v>
      </c>
      <c r="F8" s="3">
        <f t="shared" si="0"/>
        <v>20</v>
      </c>
      <c r="G8" s="3" t="str">
        <f t="shared" si="1"/>
        <v>Manage Closely</v>
      </c>
      <c r="H8" s="3" t="str">
        <f t="shared" si="2"/>
        <v>Critical</v>
      </c>
      <c r="I8" s="3" t="s">
        <v>1580</v>
      </c>
      <c r="J8" s="1"/>
      <c r="K8" s="1"/>
      <c r="L8" s="1"/>
      <c r="M8" s="1"/>
      <c r="N8" s="1"/>
      <c r="O8" s="1"/>
      <c r="P8" s="1"/>
      <c r="Q8" s="1"/>
      <c r="R8" s="1"/>
      <c r="S8" s="1"/>
      <c r="T8" s="1"/>
      <c r="U8" s="1"/>
      <c r="V8" s="1"/>
      <c r="W8" s="1"/>
      <c r="X8" s="1"/>
      <c r="Y8" s="1"/>
      <c r="Z8" s="1"/>
    </row>
    <row r="9" spans="1:26" ht="30" customHeight="1">
      <c r="A9" s="3" t="s">
        <v>1300</v>
      </c>
      <c r="B9" s="3">
        <v>5</v>
      </c>
      <c r="C9" s="3">
        <v>5</v>
      </c>
      <c r="D9" s="3">
        <v>5</v>
      </c>
      <c r="E9" s="3">
        <v>5</v>
      </c>
      <c r="F9" s="3">
        <f t="shared" si="0"/>
        <v>20</v>
      </c>
      <c r="G9" s="3" t="str">
        <f t="shared" si="1"/>
        <v>Manage Closely</v>
      </c>
      <c r="H9" s="3" t="str">
        <f t="shared" si="2"/>
        <v>Critical</v>
      </c>
      <c r="I9" s="3" t="s">
        <v>1581</v>
      </c>
      <c r="J9" s="1"/>
      <c r="K9" s="1"/>
      <c r="L9" s="1"/>
      <c r="M9" s="1"/>
      <c r="N9" s="1"/>
      <c r="O9" s="1"/>
      <c r="P9" s="1"/>
      <c r="Q9" s="1"/>
      <c r="R9" s="1"/>
      <c r="S9" s="1"/>
      <c r="T9" s="1"/>
      <c r="U9" s="1"/>
      <c r="V9" s="1"/>
      <c r="W9" s="1"/>
      <c r="X9" s="1"/>
      <c r="Y9" s="1"/>
      <c r="Z9" s="1"/>
    </row>
    <row r="10" spans="1:26" ht="30" customHeight="1">
      <c r="A10" s="3" t="s">
        <v>1467</v>
      </c>
      <c r="B10" s="3">
        <v>4</v>
      </c>
      <c r="C10" s="3">
        <v>4</v>
      </c>
      <c r="D10" s="3">
        <v>4</v>
      </c>
      <c r="E10" s="3">
        <v>5</v>
      </c>
      <c r="F10" s="3">
        <f t="shared" si="0"/>
        <v>17</v>
      </c>
      <c r="G10" s="3" t="str">
        <f t="shared" si="1"/>
        <v>Manage Closely</v>
      </c>
      <c r="H10" s="3" t="str">
        <f t="shared" si="2"/>
        <v>High</v>
      </c>
      <c r="I10" s="3" t="s">
        <v>1582</v>
      </c>
      <c r="J10" s="1"/>
      <c r="K10" s="1"/>
      <c r="L10" s="1"/>
      <c r="M10" s="1"/>
      <c r="N10" s="1"/>
      <c r="O10" s="1"/>
      <c r="P10" s="1"/>
      <c r="Q10" s="1"/>
      <c r="R10" s="1"/>
      <c r="S10" s="1"/>
      <c r="T10" s="1"/>
      <c r="U10" s="1"/>
      <c r="V10" s="1"/>
      <c r="W10" s="1"/>
      <c r="X10" s="1"/>
      <c r="Y10" s="1"/>
      <c r="Z10" s="1"/>
    </row>
    <row r="11" spans="1:26" ht="30" customHeight="1">
      <c r="A11" s="3" t="s">
        <v>277</v>
      </c>
      <c r="B11" s="3">
        <v>4</v>
      </c>
      <c r="C11" s="3">
        <v>5</v>
      </c>
      <c r="D11" s="3">
        <v>4</v>
      </c>
      <c r="E11" s="3">
        <v>5</v>
      </c>
      <c r="F11" s="3">
        <f t="shared" si="0"/>
        <v>18</v>
      </c>
      <c r="G11" s="3" t="str">
        <f t="shared" si="1"/>
        <v>Manage Closely</v>
      </c>
      <c r="H11" s="3" t="str">
        <f t="shared" si="2"/>
        <v>Critical</v>
      </c>
      <c r="I11" s="3" t="s">
        <v>1583</v>
      </c>
      <c r="J11" s="1"/>
      <c r="K11" s="1"/>
      <c r="L11" s="1"/>
      <c r="M11" s="1"/>
      <c r="N11" s="1"/>
      <c r="O11" s="1"/>
      <c r="P11" s="1"/>
      <c r="Q11" s="1"/>
      <c r="R11" s="1"/>
      <c r="S11" s="1"/>
      <c r="T11" s="1"/>
      <c r="U11" s="1"/>
      <c r="V11" s="1"/>
      <c r="W11" s="1"/>
      <c r="X11" s="1"/>
      <c r="Y11" s="1"/>
      <c r="Z11" s="1"/>
    </row>
    <row r="12" spans="1:26" ht="30" customHeight="1">
      <c r="A12" s="3" t="s">
        <v>136</v>
      </c>
      <c r="B12" s="3">
        <v>5</v>
      </c>
      <c r="C12" s="3">
        <v>4</v>
      </c>
      <c r="D12" s="3">
        <v>4</v>
      </c>
      <c r="E12" s="3">
        <v>5</v>
      </c>
      <c r="F12" s="3">
        <f t="shared" si="0"/>
        <v>18</v>
      </c>
      <c r="G12" s="3" t="str">
        <f t="shared" si="1"/>
        <v>Manage Closely</v>
      </c>
      <c r="H12" s="3" t="str">
        <f t="shared" si="2"/>
        <v>Critical</v>
      </c>
      <c r="I12" s="3" t="s">
        <v>1584</v>
      </c>
      <c r="J12" s="1"/>
      <c r="K12" s="1"/>
      <c r="L12" s="1"/>
      <c r="M12" s="1"/>
      <c r="N12" s="1"/>
      <c r="O12" s="1"/>
      <c r="P12" s="1"/>
      <c r="Q12" s="1"/>
      <c r="R12" s="1"/>
      <c r="S12" s="1"/>
      <c r="T12" s="1"/>
      <c r="U12" s="1"/>
      <c r="V12" s="1"/>
      <c r="W12" s="1"/>
      <c r="X12" s="1"/>
      <c r="Y12" s="1"/>
      <c r="Z12" s="1"/>
    </row>
    <row r="13" spans="1:26" ht="30" customHeight="1">
      <c r="A13" s="3" t="s">
        <v>289</v>
      </c>
      <c r="B13" s="3">
        <v>4</v>
      </c>
      <c r="C13" s="3">
        <v>4</v>
      </c>
      <c r="D13" s="3">
        <v>4</v>
      </c>
      <c r="E13" s="3">
        <v>4</v>
      </c>
      <c r="F13" s="3">
        <f t="shared" si="0"/>
        <v>16</v>
      </c>
      <c r="G13" s="3" t="str">
        <f t="shared" si="1"/>
        <v>Manage Closely</v>
      </c>
      <c r="H13" s="3" t="str">
        <f t="shared" si="2"/>
        <v>High</v>
      </c>
      <c r="I13" s="3" t="s">
        <v>1585</v>
      </c>
      <c r="J13" s="1"/>
      <c r="K13" s="1"/>
      <c r="L13" s="1"/>
      <c r="M13" s="1"/>
      <c r="N13" s="1"/>
      <c r="O13" s="1"/>
      <c r="P13" s="1"/>
      <c r="Q13" s="1"/>
      <c r="R13" s="1"/>
      <c r="S13" s="1"/>
      <c r="T13" s="1"/>
      <c r="U13" s="1"/>
      <c r="V13" s="1"/>
      <c r="W13" s="1"/>
      <c r="X13" s="1"/>
      <c r="Y13" s="1"/>
      <c r="Z13" s="1"/>
    </row>
    <row r="14" spans="1:26" ht="30" customHeight="1">
      <c r="A14" s="3" t="s">
        <v>148</v>
      </c>
      <c r="B14" s="3">
        <v>4</v>
      </c>
      <c r="C14" s="3">
        <v>3</v>
      </c>
      <c r="D14" s="3">
        <v>4</v>
      </c>
      <c r="E14" s="3">
        <v>5</v>
      </c>
      <c r="F14" s="3">
        <f t="shared" si="0"/>
        <v>16</v>
      </c>
      <c r="G14" s="3" t="str">
        <f t="shared" si="1"/>
        <v>Keep Satisfied</v>
      </c>
      <c r="H14" s="3" t="str">
        <f t="shared" si="2"/>
        <v>High</v>
      </c>
      <c r="I14" s="3" t="s">
        <v>1586</v>
      </c>
      <c r="J14" s="1"/>
      <c r="K14" s="1"/>
      <c r="L14" s="1"/>
      <c r="M14" s="1"/>
      <c r="N14" s="1"/>
      <c r="O14" s="1"/>
      <c r="P14" s="1"/>
      <c r="Q14" s="1"/>
      <c r="R14" s="1"/>
      <c r="S14" s="1"/>
      <c r="T14" s="1"/>
      <c r="U14" s="1"/>
      <c r="V14" s="1"/>
      <c r="W14" s="1"/>
      <c r="X14" s="1"/>
      <c r="Y14" s="1"/>
      <c r="Z14" s="1"/>
    </row>
    <row r="15" spans="1:26" ht="30" customHeight="1">
      <c r="A15" s="3" t="s">
        <v>301</v>
      </c>
      <c r="B15" s="3">
        <v>4</v>
      </c>
      <c r="C15" s="3">
        <v>3</v>
      </c>
      <c r="D15" s="3">
        <v>4</v>
      </c>
      <c r="E15" s="3">
        <v>4</v>
      </c>
      <c r="F15" s="3">
        <f t="shared" si="0"/>
        <v>15</v>
      </c>
      <c r="G15" s="3" t="str">
        <f t="shared" si="1"/>
        <v>Keep Satisfied</v>
      </c>
      <c r="H15" s="3" t="str">
        <f t="shared" si="2"/>
        <v>High</v>
      </c>
      <c r="I15" s="3" t="s">
        <v>1587</v>
      </c>
      <c r="J15" s="1"/>
      <c r="K15" s="1"/>
      <c r="L15" s="1"/>
      <c r="M15" s="1"/>
      <c r="N15" s="1"/>
      <c r="O15" s="1"/>
      <c r="P15" s="1"/>
      <c r="Q15" s="1"/>
      <c r="R15" s="1"/>
      <c r="S15" s="1"/>
      <c r="T15" s="1"/>
      <c r="U15" s="1"/>
      <c r="V15" s="1"/>
      <c r="W15" s="1"/>
      <c r="X15" s="1"/>
      <c r="Y15" s="1"/>
      <c r="Z15" s="1"/>
    </row>
    <row r="16" spans="1:26" ht="30" customHeight="1">
      <c r="A16" s="3" t="s">
        <v>175</v>
      </c>
      <c r="B16" s="3">
        <v>5</v>
      </c>
      <c r="C16" s="3">
        <v>3</v>
      </c>
      <c r="D16" s="3">
        <v>5</v>
      </c>
      <c r="E16" s="3">
        <v>5</v>
      </c>
      <c r="F16" s="3">
        <f t="shared" si="0"/>
        <v>18</v>
      </c>
      <c r="G16" s="3" t="str">
        <f t="shared" si="1"/>
        <v>Keep Satisfied</v>
      </c>
      <c r="H16" s="3" t="str">
        <f t="shared" si="2"/>
        <v>Critical</v>
      </c>
      <c r="I16" s="3" t="s">
        <v>1588</v>
      </c>
      <c r="J16" s="1"/>
      <c r="K16" s="1"/>
      <c r="L16" s="1"/>
      <c r="M16" s="1"/>
      <c r="N16" s="1"/>
      <c r="O16" s="1"/>
      <c r="P16" s="1"/>
      <c r="Q16" s="1"/>
      <c r="R16" s="1"/>
      <c r="S16" s="1"/>
      <c r="T16" s="1"/>
      <c r="U16" s="1"/>
      <c r="V16" s="1"/>
      <c r="W16" s="1"/>
      <c r="X16" s="1"/>
      <c r="Y16" s="1"/>
      <c r="Z16" s="1"/>
    </row>
    <row r="17" spans="1:26" ht="30" customHeight="1">
      <c r="A17" s="3" t="s">
        <v>187</v>
      </c>
      <c r="B17" s="3">
        <v>5</v>
      </c>
      <c r="C17" s="3">
        <v>3</v>
      </c>
      <c r="D17" s="3">
        <v>5</v>
      </c>
      <c r="E17" s="3">
        <v>5</v>
      </c>
      <c r="F17" s="3">
        <f t="shared" si="0"/>
        <v>18</v>
      </c>
      <c r="G17" s="3" t="str">
        <f t="shared" si="1"/>
        <v>Keep Satisfied</v>
      </c>
      <c r="H17" s="3" t="str">
        <f t="shared" si="2"/>
        <v>Critical</v>
      </c>
      <c r="I17" s="3" t="s">
        <v>1589</v>
      </c>
      <c r="J17" s="1"/>
      <c r="K17" s="1"/>
      <c r="L17" s="1"/>
      <c r="M17" s="1"/>
      <c r="N17" s="1"/>
      <c r="O17" s="1"/>
      <c r="P17" s="1"/>
      <c r="Q17" s="1"/>
      <c r="R17" s="1"/>
      <c r="S17" s="1"/>
      <c r="T17" s="1"/>
      <c r="U17" s="1"/>
      <c r="V17" s="1"/>
      <c r="W17" s="1"/>
      <c r="X17" s="1"/>
      <c r="Y17" s="1"/>
      <c r="Z17" s="1"/>
    </row>
    <row r="18" spans="1:26" ht="30" customHeight="1">
      <c r="A18" s="3" t="s">
        <v>1590</v>
      </c>
      <c r="B18" s="3">
        <v>3</v>
      </c>
      <c r="C18" s="3">
        <v>4</v>
      </c>
      <c r="D18" s="3">
        <v>4</v>
      </c>
      <c r="E18" s="3">
        <v>4</v>
      </c>
      <c r="F18" s="3">
        <f t="shared" si="0"/>
        <v>15</v>
      </c>
      <c r="G18" s="3" t="str">
        <f t="shared" si="1"/>
        <v>Keep Informed</v>
      </c>
      <c r="H18" s="3" t="str">
        <f t="shared" si="2"/>
        <v>High</v>
      </c>
      <c r="I18" s="3" t="s">
        <v>1591</v>
      </c>
      <c r="J18" s="1"/>
      <c r="K18" s="1"/>
      <c r="L18" s="1"/>
      <c r="M18" s="1"/>
      <c r="N18" s="1"/>
      <c r="O18" s="1"/>
      <c r="P18" s="1"/>
      <c r="Q18" s="1"/>
      <c r="R18" s="1"/>
      <c r="S18" s="1"/>
      <c r="T18" s="1"/>
      <c r="U18" s="1"/>
      <c r="V18" s="1"/>
      <c r="W18" s="1"/>
      <c r="X18" s="1"/>
      <c r="Y18" s="1"/>
      <c r="Z18" s="1"/>
    </row>
    <row r="19" spans="1:26" ht="30" customHeight="1">
      <c r="A19" s="3" t="s">
        <v>1592</v>
      </c>
      <c r="B19" s="3">
        <v>3</v>
      </c>
      <c r="C19" s="3">
        <v>3</v>
      </c>
      <c r="D19" s="3">
        <v>3</v>
      </c>
      <c r="E19" s="3">
        <v>3</v>
      </c>
      <c r="F19" s="3">
        <f t="shared" si="0"/>
        <v>12</v>
      </c>
      <c r="G19" s="3" t="str">
        <f t="shared" si="1"/>
        <v>Monitor</v>
      </c>
      <c r="H19" s="3" t="str">
        <f t="shared" si="2"/>
        <v>Medium</v>
      </c>
      <c r="I19" s="3" t="s">
        <v>1593</v>
      </c>
      <c r="J19" s="1"/>
      <c r="K19" s="1"/>
      <c r="L19" s="1"/>
      <c r="M19" s="1"/>
      <c r="N19" s="1"/>
      <c r="O19" s="1"/>
      <c r="P19" s="1"/>
      <c r="Q19" s="1"/>
      <c r="R19" s="1"/>
      <c r="S19" s="1"/>
      <c r="T19" s="1"/>
      <c r="U19" s="1"/>
      <c r="V19" s="1"/>
      <c r="W19" s="1"/>
      <c r="X19" s="1"/>
      <c r="Y19" s="1"/>
      <c r="Z19" s="1"/>
    </row>
    <row r="20" spans="1:26" ht="30" customHeight="1">
      <c r="A20" s="3" t="s">
        <v>1594</v>
      </c>
      <c r="B20" s="3">
        <v>3</v>
      </c>
      <c r="C20" s="3">
        <v>3</v>
      </c>
      <c r="D20" s="3">
        <v>3</v>
      </c>
      <c r="E20" s="3">
        <v>4</v>
      </c>
      <c r="F20" s="3">
        <f t="shared" si="0"/>
        <v>13</v>
      </c>
      <c r="G20" s="3" t="str">
        <f t="shared" si="1"/>
        <v>Monitor</v>
      </c>
      <c r="H20" s="3" t="str">
        <f t="shared" si="2"/>
        <v>Medium</v>
      </c>
      <c r="I20" s="3" t="s">
        <v>1595</v>
      </c>
      <c r="J20" s="1"/>
      <c r="K20" s="1"/>
      <c r="L20" s="1"/>
      <c r="M20" s="1"/>
      <c r="N20" s="1"/>
      <c r="O20" s="1"/>
      <c r="P20" s="1"/>
      <c r="Q20" s="1"/>
      <c r="R20" s="1"/>
      <c r="S20" s="1"/>
      <c r="T20" s="1"/>
      <c r="U20" s="1"/>
      <c r="V20" s="1"/>
      <c r="W20" s="1"/>
      <c r="X20" s="1"/>
      <c r="Y20" s="1"/>
      <c r="Z20" s="1"/>
    </row>
    <row r="21" spans="1:26" ht="30" customHeight="1">
      <c r="A21" s="3" t="s">
        <v>1596</v>
      </c>
      <c r="B21" s="3">
        <v>4</v>
      </c>
      <c r="C21" s="3">
        <v>2</v>
      </c>
      <c r="D21" s="3">
        <v>3</v>
      </c>
      <c r="E21" s="3">
        <v>4</v>
      </c>
      <c r="F21" s="3">
        <f t="shared" si="0"/>
        <v>13</v>
      </c>
      <c r="G21" s="3" t="str">
        <f t="shared" si="1"/>
        <v>Keep Satisfied</v>
      </c>
      <c r="H21" s="3" t="str">
        <f t="shared" si="2"/>
        <v>Medium</v>
      </c>
      <c r="I21" s="3" t="s">
        <v>1597</v>
      </c>
      <c r="J21" s="1"/>
      <c r="K21" s="1"/>
      <c r="L21" s="1"/>
      <c r="M21" s="1"/>
      <c r="N21" s="1"/>
      <c r="O21" s="1"/>
      <c r="P21" s="1"/>
      <c r="Q21" s="1"/>
      <c r="R21" s="1"/>
      <c r="S21" s="1"/>
      <c r="T21" s="1"/>
      <c r="U21" s="1"/>
      <c r="V21" s="1"/>
      <c r="W21" s="1"/>
      <c r="X21" s="1"/>
      <c r="Y21" s="1"/>
      <c r="Z21" s="1"/>
    </row>
    <row r="22" spans="1:26" ht="30" customHeight="1">
      <c r="A22" s="3" t="s">
        <v>1598</v>
      </c>
      <c r="B22" s="3">
        <v>4</v>
      </c>
      <c r="C22" s="3">
        <v>2</v>
      </c>
      <c r="D22" s="3">
        <v>3</v>
      </c>
      <c r="E22" s="3">
        <v>5</v>
      </c>
      <c r="F22" s="3">
        <f t="shared" si="0"/>
        <v>14</v>
      </c>
      <c r="G22" s="3" t="str">
        <f t="shared" si="1"/>
        <v>Keep Satisfied</v>
      </c>
      <c r="H22" s="3" t="str">
        <f t="shared" si="2"/>
        <v>High</v>
      </c>
      <c r="I22" s="3" t="s">
        <v>1599</v>
      </c>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conditionalFormatting sqref="H5:H22">
    <cfRule type="expression" dxfId="13" priority="1">
      <formula>H5="Critical"</formula>
    </cfRule>
    <cfRule type="expression" dxfId="12" priority="2">
      <formula>H5="High"</formula>
    </cfRule>
  </conditionalFormatting>
  <dataValidations count="2">
    <dataValidation type="list" sqref="H5:H22" xr:uid="{00000000-0002-0000-0700-000000000000}">
      <formula1>"Critical,High,Medium,Low"</formula1>
    </dataValidation>
    <dataValidation type="list" sqref="G5:G22" xr:uid="{00000000-0002-0000-0700-000001000000}">
      <formula1>"Manage Closely,Keep Satisfied,Keep Informed,Monitor"</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00"/>
  <sheetViews>
    <sheetView workbookViewId="0">
      <selection sqref="A1:L1"/>
    </sheetView>
  </sheetViews>
  <sheetFormatPr defaultRowHeight="14.25"/>
  <cols>
    <col min="1" max="1" width="10" customWidth="1"/>
    <col min="2" max="2" width="42" customWidth="1"/>
    <col min="3" max="3" width="24" customWidth="1"/>
    <col min="4" max="4" width="16" customWidth="1"/>
    <col min="5" max="5" width="28" customWidth="1"/>
    <col min="6" max="6" width="42" customWidth="1"/>
    <col min="7" max="7" width="34" customWidth="1"/>
    <col min="8" max="8" width="18" customWidth="1"/>
    <col min="9" max="9" width="36" customWidth="1"/>
  </cols>
  <sheetData>
    <row r="1" spans="1:26" ht="27.95" customHeight="1">
      <c r="A1" s="228" t="s">
        <v>1600</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1601</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1602</v>
      </c>
      <c r="B4" s="2" t="s">
        <v>1603</v>
      </c>
      <c r="C4" s="2" t="s">
        <v>334</v>
      </c>
      <c r="D4" s="2" t="s">
        <v>1604</v>
      </c>
      <c r="E4" s="2" t="s">
        <v>931</v>
      </c>
      <c r="F4" s="2" t="s">
        <v>1605</v>
      </c>
      <c r="G4" s="2" t="s">
        <v>1606</v>
      </c>
      <c r="H4" s="2" t="s">
        <v>240</v>
      </c>
      <c r="I4" s="2" t="s">
        <v>1607</v>
      </c>
      <c r="J4" s="1"/>
      <c r="K4" s="1"/>
      <c r="L4" s="1"/>
      <c r="M4" s="1"/>
      <c r="N4" s="1"/>
      <c r="O4" s="1"/>
      <c r="P4" s="1"/>
      <c r="Q4" s="1"/>
      <c r="R4" s="1"/>
      <c r="S4" s="1"/>
      <c r="T4" s="1"/>
      <c r="U4" s="1"/>
      <c r="V4" s="1"/>
      <c r="W4" s="1"/>
      <c r="X4" s="1"/>
      <c r="Y4" s="1"/>
      <c r="Z4" s="1"/>
    </row>
    <row r="5" spans="1:26" ht="30" customHeight="1">
      <c r="A5" s="3">
        <v>1</v>
      </c>
      <c r="B5" s="3" t="s">
        <v>1608</v>
      </c>
      <c r="C5" s="3" t="s">
        <v>250</v>
      </c>
      <c r="D5" s="4">
        <v>46217</v>
      </c>
      <c r="E5" s="3" t="s">
        <v>40</v>
      </c>
      <c r="F5" s="3" t="s">
        <v>1609</v>
      </c>
      <c r="G5" s="3" t="s">
        <v>1610</v>
      </c>
      <c r="H5" s="3" t="s">
        <v>68</v>
      </c>
      <c r="I5" s="3" t="s">
        <v>1611</v>
      </c>
      <c r="J5" s="1"/>
      <c r="K5" s="1"/>
      <c r="L5" s="1"/>
      <c r="M5" s="1"/>
      <c r="N5" s="1"/>
      <c r="O5" s="1"/>
      <c r="P5" s="1"/>
      <c r="Q5" s="1"/>
      <c r="R5" s="1"/>
      <c r="S5" s="1"/>
      <c r="T5" s="1"/>
      <c r="U5" s="1"/>
      <c r="V5" s="1"/>
      <c r="W5" s="1"/>
      <c r="X5" s="1"/>
      <c r="Y5" s="1"/>
      <c r="Z5" s="1"/>
    </row>
    <row r="6" spans="1:26" ht="30" customHeight="1">
      <c r="A6" s="3">
        <v>2</v>
      </c>
      <c r="B6" s="3" t="s">
        <v>1612</v>
      </c>
      <c r="C6" s="3" t="s">
        <v>1613</v>
      </c>
      <c r="D6" s="4">
        <v>46218</v>
      </c>
      <c r="E6" s="3" t="s">
        <v>1614</v>
      </c>
      <c r="F6" s="3" t="s">
        <v>1615</v>
      </c>
      <c r="G6" s="3" t="s">
        <v>1616</v>
      </c>
      <c r="H6" s="3" t="s">
        <v>160</v>
      </c>
      <c r="I6" s="3" t="s">
        <v>1617</v>
      </c>
      <c r="J6" s="1"/>
      <c r="K6" s="1"/>
      <c r="L6" s="1"/>
      <c r="M6" s="1"/>
      <c r="N6" s="1"/>
      <c r="O6" s="1"/>
      <c r="P6" s="1"/>
      <c r="Q6" s="1"/>
      <c r="R6" s="1"/>
      <c r="S6" s="1"/>
      <c r="T6" s="1"/>
      <c r="U6" s="1"/>
      <c r="V6" s="1"/>
      <c r="W6" s="1"/>
      <c r="X6" s="1"/>
      <c r="Y6" s="1"/>
      <c r="Z6" s="1"/>
    </row>
    <row r="7" spans="1:26" ht="30" customHeight="1">
      <c r="A7" s="3">
        <v>3</v>
      </c>
      <c r="B7" s="3" t="s">
        <v>1618</v>
      </c>
      <c r="C7" s="3" t="s">
        <v>1619</v>
      </c>
      <c r="D7" s="4">
        <v>46219</v>
      </c>
      <c r="E7" s="3" t="s">
        <v>1614</v>
      </c>
      <c r="F7" s="3" t="s">
        <v>1620</v>
      </c>
      <c r="G7" s="3" t="s">
        <v>1621</v>
      </c>
      <c r="H7" s="3" t="s">
        <v>160</v>
      </c>
      <c r="I7" s="3" t="s">
        <v>1622</v>
      </c>
      <c r="J7" s="1"/>
      <c r="K7" s="1"/>
      <c r="L7" s="1"/>
      <c r="M7" s="1"/>
      <c r="N7" s="1"/>
      <c r="O7" s="1"/>
      <c r="P7" s="1"/>
      <c r="Q7" s="1"/>
      <c r="R7" s="1"/>
      <c r="S7" s="1"/>
      <c r="T7" s="1"/>
      <c r="U7" s="1"/>
      <c r="V7" s="1"/>
      <c r="W7" s="1"/>
      <c r="X7" s="1"/>
      <c r="Y7" s="1"/>
      <c r="Z7" s="1"/>
    </row>
    <row r="8" spans="1:26" ht="30" customHeight="1">
      <c r="A8" s="3">
        <v>4</v>
      </c>
      <c r="B8" s="3" t="s">
        <v>1623</v>
      </c>
      <c r="C8" s="3" t="s">
        <v>250</v>
      </c>
      <c r="D8" s="4">
        <v>46220</v>
      </c>
      <c r="E8" s="3" t="s">
        <v>1624</v>
      </c>
      <c r="F8" s="3" t="s">
        <v>1625</v>
      </c>
      <c r="G8" s="3" t="s">
        <v>1626</v>
      </c>
      <c r="H8" s="3" t="s">
        <v>68</v>
      </c>
      <c r="I8" s="3" t="s">
        <v>1627</v>
      </c>
      <c r="J8" s="1"/>
      <c r="K8" s="1"/>
      <c r="L8" s="1"/>
      <c r="M8" s="1"/>
      <c r="N8" s="1"/>
      <c r="O8" s="1"/>
      <c r="P8" s="1"/>
      <c r="Q8" s="1"/>
      <c r="R8" s="1"/>
      <c r="S8" s="1"/>
      <c r="T8" s="1"/>
      <c r="U8" s="1"/>
      <c r="V8" s="1"/>
      <c r="W8" s="1"/>
      <c r="X8" s="1"/>
      <c r="Y8" s="1"/>
      <c r="Z8" s="1"/>
    </row>
    <row r="9" spans="1:26" ht="30" customHeight="1">
      <c r="A9" s="3">
        <v>5</v>
      </c>
      <c r="B9" s="3" t="s">
        <v>1628</v>
      </c>
      <c r="C9" s="3" t="s">
        <v>77</v>
      </c>
      <c r="D9" s="4">
        <v>46220</v>
      </c>
      <c r="E9" s="3" t="s">
        <v>1629</v>
      </c>
      <c r="F9" s="3" t="s">
        <v>1630</v>
      </c>
      <c r="G9" s="3" t="s">
        <v>1631</v>
      </c>
      <c r="H9" s="3" t="s">
        <v>68</v>
      </c>
      <c r="I9" s="3" t="s">
        <v>1632</v>
      </c>
      <c r="J9" s="1"/>
      <c r="K9" s="1"/>
      <c r="L9" s="1"/>
      <c r="M9" s="1"/>
      <c r="N9" s="1"/>
      <c r="O9" s="1"/>
      <c r="P9" s="1"/>
      <c r="Q9" s="1"/>
      <c r="R9" s="1"/>
      <c r="S9" s="1"/>
      <c r="T9" s="1"/>
      <c r="U9" s="1"/>
      <c r="V9" s="1"/>
      <c r="W9" s="1"/>
      <c r="X9" s="1"/>
      <c r="Y9" s="1"/>
      <c r="Z9" s="1"/>
    </row>
    <row r="10" spans="1:26" ht="30" customHeight="1">
      <c r="A10" s="3">
        <v>6</v>
      </c>
      <c r="B10" s="3" t="s">
        <v>1633</v>
      </c>
      <c r="C10" s="3" t="s">
        <v>1613</v>
      </c>
      <c r="D10" s="4">
        <v>46220</v>
      </c>
      <c r="E10" s="3" t="s">
        <v>1634</v>
      </c>
      <c r="F10" s="3" t="s">
        <v>1635</v>
      </c>
      <c r="G10" s="3" t="s">
        <v>1636</v>
      </c>
      <c r="H10" s="3" t="s">
        <v>1637</v>
      </c>
      <c r="I10" s="3" t="s">
        <v>1638</v>
      </c>
      <c r="J10" s="1"/>
      <c r="K10" s="1"/>
      <c r="L10" s="1"/>
      <c r="M10" s="1"/>
      <c r="N10" s="1"/>
      <c r="O10" s="1"/>
      <c r="P10" s="1"/>
      <c r="Q10" s="1"/>
      <c r="R10" s="1"/>
      <c r="S10" s="1"/>
      <c r="T10" s="1"/>
      <c r="U10" s="1"/>
      <c r="V10" s="1"/>
      <c r="W10" s="1"/>
      <c r="X10" s="1"/>
      <c r="Y10" s="1"/>
      <c r="Z10" s="1"/>
    </row>
    <row r="11" spans="1:26" ht="30" customHeight="1">
      <c r="A11" s="3">
        <v>7</v>
      </c>
      <c r="B11" s="3" t="s">
        <v>1639</v>
      </c>
      <c r="C11" s="3" t="s">
        <v>90</v>
      </c>
      <c r="D11" s="4">
        <v>46221</v>
      </c>
      <c r="E11" s="3" t="s">
        <v>1640</v>
      </c>
      <c r="F11" s="3" t="s">
        <v>1641</v>
      </c>
      <c r="G11" s="3" t="s">
        <v>1642</v>
      </c>
      <c r="H11" s="3" t="s">
        <v>95</v>
      </c>
      <c r="I11" s="3" t="s">
        <v>1643</v>
      </c>
      <c r="J11" s="1"/>
      <c r="K11" s="1"/>
      <c r="L11" s="1"/>
      <c r="M11" s="1"/>
      <c r="N11" s="1"/>
      <c r="O11" s="1"/>
      <c r="P11" s="1"/>
      <c r="Q11" s="1"/>
      <c r="R11" s="1"/>
      <c r="S11" s="1"/>
      <c r="T11" s="1"/>
      <c r="U11" s="1"/>
      <c r="V11" s="1"/>
      <c r="W11" s="1"/>
      <c r="X11" s="1"/>
      <c r="Y11" s="1"/>
      <c r="Z11" s="1"/>
    </row>
    <row r="12" spans="1:26" ht="30" customHeight="1">
      <c r="A12" s="3">
        <v>8</v>
      </c>
      <c r="B12" s="3" t="s">
        <v>1644</v>
      </c>
      <c r="C12" s="3" t="s">
        <v>454</v>
      </c>
      <c r="D12" s="4">
        <v>46222</v>
      </c>
      <c r="E12" s="3" t="s">
        <v>1645</v>
      </c>
      <c r="F12" s="3" t="s">
        <v>1646</v>
      </c>
      <c r="G12" s="3" t="s">
        <v>1647</v>
      </c>
      <c r="H12" s="3" t="s">
        <v>68</v>
      </c>
      <c r="I12" s="3" t="s">
        <v>1648</v>
      </c>
      <c r="J12" s="1"/>
      <c r="K12" s="1"/>
      <c r="L12" s="1"/>
      <c r="M12" s="1"/>
      <c r="N12" s="1"/>
      <c r="O12" s="1"/>
      <c r="P12" s="1"/>
      <c r="Q12" s="1"/>
      <c r="R12" s="1"/>
      <c r="S12" s="1"/>
      <c r="T12" s="1"/>
      <c r="U12" s="1"/>
      <c r="V12" s="1"/>
      <c r="W12" s="1"/>
      <c r="X12" s="1"/>
      <c r="Y12" s="1"/>
      <c r="Z12" s="1"/>
    </row>
    <row r="13" spans="1:26" ht="30" customHeight="1">
      <c r="A13" s="3">
        <v>9</v>
      </c>
      <c r="B13" s="3" t="s">
        <v>1649</v>
      </c>
      <c r="C13" s="3" t="s">
        <v>249</v>
      </c>
      <c r="D13" s="4">
        <v>46217</v>
      </c>
      <c r="E13" s="3" t="s">
        <v>40</v>
      </c>
      <c r="F13" s="3" t="s">
        <v>1650</v>
      </c>
      <c r="G13" s="3" t="s">
        <v>1651</v>
      </c>
      <c r="H13" s="3" t="s">
        <v>68</v>
      </c>
      <c r="I13" s="3" t="s">
        <v>1652</v>
      </c>
      <c r="J13" s="1"/>
      <c r="K13" s="1"/>
      <c r="L13" s="1"/>
      <c r="M13" s="1"/>
      <c r="N13" s="1"/>
      <c r="O13" s="1"/>
      <c r="P13" s="1"/>
      <c r="Q13" s="1"/>
      <c r="R13" s="1"/>
      <c r="S13" s="1"/>
      <c r="T13" s="1"/>
      <c r="U13" s="1"/>
      <c r="V13" s="1"/>
      <c r="W13" s="1"/>
      <c r="X13" s="1"/>
      <c r="Y13" s="1"/>
      <c r="Z13" s="1"/>
    </row>
    <row r="14" spans="1:26" ht="30" customHeight="1">
      <c r="A14" s="3">
        <v>10</v>
      </c>
      <c r="B14" s="3" t="s">
        <v>1653</v>
      </c>
      <c r="C14" s="3" t="s">
        <v>1654</v>
      </c>
      <c r="D14" s="4">
        <v>46223</v>
      </c>
      <c r="E14" s="3" t="s">
        <v>1655</v>
      </c>
      <c r="F14" s="3" t="s">
        <v>1656</v>
      </c>
      <c r="G14" s="3" t="s">
        <v>1657</v>
      </c>
      <c r="H14" s="3" t="s">
        <v>68</v>
      </c>
      <c r="I14" s="3" t="s">
        <v>1658</v>
      </c>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conditionalFormatting sqref="H5:H14">
    <cfRule type="expression" dxfId="11" priority="1">
      <formula>ISNUMBER(SEARCH("Delayed",H5))</formula>
    </cfRule>
    <cfRule type="expression" dxfId="10" priority="2">
      <formula>ISNUMBER(SEARCH("Escalated",H5))</formula>
    </cfRule>
    <cfRule type="expression" dxfId="9" priority="3">
      <formula>ISNUMBER(SEARCH("Completed",H5))</formula>
    </cfRule>
    <cfRule type="expression" dxfId="8" priority="4">
      <formula>ISNUMBER(SEARCH("Closed",H5))</formula>
    </cfRule>
    <cfRule type="expression" dxfId="7" priority="5">
      <formula>ISNUMBER(SEARCH("Information Required",H5))</formula>
    </cfRule>
  </conditionalFormatting>
  <dataValidations count="1">
    <dataValidation type="list" sqref="H5:H14" xr:uid="{00000000-0002-0000-0800-000000000000}">
      <formula1>"Not Started,Planned,Requested,Scheduled,In Progress,Open - verify status,Completed,Closed,Delayed,Escalated,Information Required"</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topLeftCell="C5" workbookViewId="0">
      <selection sqref="A1:L1"/>
    </sheetView>
  </sheetViews>
  <sheetFormatPr defaultRowHeight="14.25"/>
  <cols>
    <col min="1" max="1" width="10" customWidth="1"/>
    <col min="2" max="2" width="45" customWidth="1"/>
    <col min="3" max="3" width="28" customWidth="1"/>
    <col min="4" max="4" width="48" customWidth="1"/>
    <col min="5" max="5" width="28" customWidth="1"/>
    <col min="6" max="6" width="12" customWidth="1"/>
    <col min="7" max="7" width="16" customWidth="1"/>
    <col min="8" max="8" width="20" customWidth="1"/>
    <col min="9" max="9" width="42" customWidth="1"/>
  </cols>
  <sheetData>
    <row r="1" spans="1:26" ht="27.95" customHeight="1">
      <c r="A1" s="228" t="s">
        <v>1659</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1660</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1661</v>
      </c>
      <c r="B4" s="2" t="s">
        <v>1637</v>
      </c>
      <c r="C4" s="2" t="s">
        <v>1662</v>
      </c>
      <c r="D4" s="2" t="s">
        <v>1663</v>
      </c>
      <c r="E4" s="2" t="s">
        <v>1664</v>
      </c>
      <c r="F4" s="2" t="s">
        <v>29</v>
      </c>
      <c r="G4" s="2" t="s">
        <v>1604</v>
      </c>
      <c r="H4" s="2" t="s">
        <v>240</v>
      </c>
      <c r="I4" s="2" t="s">
        <v>1665</v>
      </c>
      <c r="J4" s="1"/>
      <c r="K4" s="1"/>
      <c r="L4" s="1"/>
      <c r="M4" s="1"/>
      <c r="N4" s="1"/>
      <c r="O4" s="1"/>
      <c r="P4" s="1"/>
      <c r="Q4" s="1"/>
      <c r="R4" s="1"/>
      <c r="S4" s="1"/>
      <c r="T4" s="1"/>
      <c r="U4" s="1"/>
      <c r="V4" s="1"/>
      <c r="W4" s="1"/>
      <c r="X4" s="1"/>
      <c r="Y4" s="1"/>
      <c r="Z4" s="1"/>
    </row>
    <row r="5" spans="1:26" ht="30" customHeight="1">
      <c r="A5" s="3" t="s">
        <v>1666</v>
      </c>
      <c r="B5" s="3" t="s">
        <v>1667</v>
      </c>
      <c r="C5" s="3" t="s">
        <v>484</v>
      </c>
      <c r="D5" s="3" t="s">
        <v>1668</v>
      </c>
      <c r="E5" s="3" t="s">
        <v>1669</v>
      </c>
      <c r="F5" s="3" t="s">
        <v>45</v>
      </c>
      <c r="G5" s="4">
        <v>46217</v>
      </c>
      <c r="H5" s="3" t="s">
        <v>1637</v>
      </c>
      <c r="I5" s="3" t="s">
        <v>1670</v>
      </c>
      <c r="J5" s="1"/>
      <c r="K5" s="1"/>
      <c r="L5" s="1"/>
      <c r="M5" s="1"/>
      <c r="N5" s="1"/>
      <c r="O5" s="1"/>
      <c r="P5" s="1"/>
      <c r="Q5" s="1"/>
      <c r="R5" s="1"/>
      <c r="S5" s="1"/>
      <c r="T5" s="1"/>
      <c r="U5" s="1"/>
      <c r="V5" s="1"/>
      <c r="W5" s="1"/>
      <c r="X5" s="1"/>
      <c r="Y5" s="1"/>
      <c r="Z5" s="1"/>
    </row>
    <row r="6" spans="1:26" ht="30" customHeight="1">
      <c r="A6" s="3" t="s">
        <v>1671</v>
      </c>
      <c r="B6" s="3" t="s">
        <v>1672</v>
      </c>
      <c r="C6" s="3" t="s">
        <v>1673</v>
      </c>
      <c r="D6" s="3" t="s">
        <v>1674</v>
      </c>
      <c r="E6" s="3" t="s">
        <v>1675</v>
      </c>
      <c r="F6" s="3" t="s">
        <v>45</v>
      </c>
      <c r="G6" s="4">
        <v>46219</v>
      </c>
      <c r="H6" s="3" t="s">
        <v>1637</v>
      </c>
      <c r="I6" s="3" t="s">
        <v>1676</v>
      </c>
      <c r="J6" s="1"/>
      <c r="K6" s="1"/>
      <c r="L6" s="1"/>
      <c r="M6" s="1"/>
      <c r="N6" s="1"/>
      <c r="O6" s="1"/>
      <c r="P6" s="1"/>
      <c r="Q6" s="1"/>
      <c r="R6" s="1"/>
      <c r="S6" s="1"/>
      <c r="T6" s="1"/>
      <c r="U6" s="1"/>
      <c r="V6" s="1"/>
      <c r="W6" s="1"/>
      <c r="X6" s="1"/>
      <c r="Y6" s="1"/>
      <c r="Z6" s="1"/>
    </row>
    <row r="7" spans="1:26" ht="30" customHeight="1">
      <c r="A7" s="3" t="s">
        <v>1677</v>
      </c>
      <c r="B7" s="3" t="s">
        <v>1678</v>
      </c>
      <c r="C7" s="3" t="s">
        <v>1679</v>
      </c>
      <c r="D7" s="3" t="s">
        <v>1680</v>
      </c>
      <c r="E7" s="3" t="s">
        <v>1681</v>
      </c>
      <c r="F7" s="3" t="s">
        <v>45</v>
      </c>
      <c r="G7" s="4">
        <v>46223</v>
      </c>
      <c r="H7" s="3" t="s">
        <v>1637</v>
      </c>
      <c r="I7" s="3" t="s">
        <v>1682</v>
      </c>
      <c r="J7" s="1"/>
      <c r="K7" s="1"/>
      <c r="L7" s="1"/>
      <c r="M7" s="1"/>
      <c r="N7" s="1"/>
      <c r="O7" s="1"/>
      <c r="P7" s="1"/>
      <c r="Q7" s="1"/>
      <c r="R7" s="1"/>
      <c r="S7" s="1"/>
      <c r="T7" s="1"/>
      <c r="U7" s="1"/>
      <c r="V7" s="1"/>
      <c r="W7" s="1"/>
      <c r="X7" s="1"/>
      <c r="Y7" s="1"/>
      <c r="Z7" s="1"/>
    </row>
    <row r="8" spans="1:26" ht="30" customHeight="1">
      <c r="A8" s="3" t="s">
        <v>1683</v>
      </c>
      <c r="B8" s="3" t="s">
        <v>1684</v>
      </c>
      <c r="C8" s="3" t="s">
        <v>83</v>
      </c>
      <c r="D8" s="3" t="s">
        <v>1685</v>
      </c>
      <c r="E8" s="3" t="s">
        <v>1686</v>
      </c>
      <c r="F8" s="3" t="s">
        <v>45</v>
      </c>
      <c r="G8" s="4">
        <v>46225</v>
      </c>
      <c r="H8" s="3" t="s">
        <v>95</v>
      </c>
      <c r="I8" s="3" t="s">
        <v>1687</v>
      </c>
      <c r="J8" s="1"/>
      <c r="K8" s="1"/>
      <c r="L8" s="1"/>
      <c r="M8" s="1"/>
      <c r="N8" s="1"/>
      <c r="O8" s="1"/>
      <c r="P8" s="1"/>
      <c r="Q8" s="1"/>
      <c r="R8" s="1"/>
      <c r="S8" s="1"/>
      <c r="T8" s="1"/>
      <c r="U8" s="1"/>
      <c r="V8" s="1"/>
      <c r="W8" s="1"/>
      <c r="X8" s="1"/>
      <c r="Y8" s="1"/>
      <c r="Z8" s="1"/>
    </row>
    <row r="9" spans="1:26" ht="30" customHeight="1">
      <c r="A9" s="3" t="s">
        <v>1688</v>
      </c>
      <c r="B9" s="3" t="s">
        <v>1689</v>
      </c>
      <c r="C9" s="3" t="s">
        <v>1690</v>
      </c>
      <c r="D9" s="3" t="s">
        <v>1691</v>
      </c>
      <c r="E9" s="3" t="s">
        <v>1692</v>
      </c>
      <c r="F9" s="3" t="s">
        <v>45</v>
      </c>
      <c r="G9" s="4">
        <v>46225</v>
      </c>
      <c r="H9" s="3" t="s">
        <v>95</v>
      </c>
      <c r="I9" s="3" t="s">
        <v>1693</v>
      </c>
      <c r="J9" s="1"/>
      <c r="K9" s="1"/>
      <c r="L9" s="1"/>
      <c r="M9" s="1"/>
      <c r="N9" s="1"/>
      <c r="O9" s="1"/>
      <c r="P9" s="1"/>
      <c r="Q9" s="1"/>
      <c r="R9" s="1"/>
      <c r="S9" s="1"/>
      <c r="T9" s="1"/>
      <c r="U9" s="1"/>
      <c r="V9" s="1"/>
      <c r="W9" s="1"/>
      <c r="X9" s="1"/>
      <c r="Y9" s="1"/>
      <c r="Z9" s="1"/>
    </row>
    <row r="10" spans="1:26" ht="30" customHeight="1">
      <c r="A10" s="3" t="s">
        <v>1694</v>
      </c>
      <c r="B10" s="3" t="s">
        <v>1695</v>
      </c>
      <c r="C10" s="3" t="s">
        <v>83</v>
      </c>
      <c r="D10" s="3" t="s">
        <v>1696</v>
      </c>
      <c r="E10" s="3" t="s">
        <v>1686</v>
      </c>
      <c r="F10" s="3" t="s">
        <v>44</v>
      </c>
      <c r="G10" s="4">
        <v>46225</v>
      </c>
      <c r="H10" s="3" t="s">
        <v>95</v>
      </c>
      <c r="I10" s="3" t="s">
        <v>1697</v>
      </c>
      <c r="J10" s="1"/>
      <c r="K10" s="1"/>
      <c r="L10" s="1"/>
      <c r="M10" s="1"/>
      <c r="N10" s="1"/>
      <c r="O10" s="1"/>
      <c r="P10" s="1"/>
      <c r="Q10" s="1"/>
      <c r="R10" s="1"/>
      <c r="S10" s="1"/>
      <c r="T10" s="1"/>
      <c r="U10" s="1"/>
      <c r="V10" s="1"/>
      <c r="W10" s="1"/>
      <c r="X10" s="1"/>
      <c r="Y10" s="1"/>
      <c r="Z10" s="1"/>
    </row>
    <row r="11" spans="1:26" ht="30" customHeight="1">
      <c r="A11" s="3" t="s">
        <v>1698</v>
      </c>
      <c r="B11" s="3" t="s">
        <v>1699</v>
      </c>
      <c r="C11" s="3" t="s">
        <v>1700</v>
      </c>
      <c r="D11" s="3" t="s">
        <v>1701</v>
      </c>
      <c r="E11" s="3" t="s">
        <v>1681</v>
      </c>
      <c r="F11" s="3" t="s">
        <v>45</v>
      </c>
      <c r="G11" s="4">
        <v>46223</v>
      </c>
      <c r="H11" s="3" t="s">
        <v>95</v>
      </c>
      <c r="I11" s="3" t="s">
        <v>1702</v>
      </c>
      <c r="J11" s="1"/>
      <c r="K11" s="1"/>
      <c r="L11" s="1"/>
      <c r="M11" s="1"/>
      <c r="N11" s="1"/>
      <c r="O11" s="1"/>
      <c r="P11" s="1"/>
      <c r="Q11" s="1"/>
      <c r="R11" s="1"/>
      <c r="S11" s="1"/>
      <c r="T11" s="1"/>
      <c r="U11" s="1"/>
      <c r="V11" s="1"/>
      <c r="W11" s="1"/>
      <c r="X11" s="1"/>
      <c r="Y11" s="1"/>
      <c r="Z11" s="1"/>
    </row>
    <row r="12" spans="1:26" ht="30" customHeight="1">
      <c r="A12" s="3" t="s">
        <v>1703</v>
      </c>
      <c r="B12" s="3" t="s">
        <v>1704</v>
      </c>
      <c r="C12" s="3" t="s">
        <v>1705</v>
      </c>
      <c r="D12" s="3" t="s">
        <v>1706</v>
      </c>
      <c r="E12" s="3" t="s">
        <v>1707</v>
      </c>
      <c r="F12" s="3" t="s">
        <v>44</v>
      </c>
      <c r="G12" s="4">
        <v>46223</v>
      </c>
      <c r="H12" s="3" t="s">
        <v>1637</v>
      </c>
      <c r="I12" s="3" t="s">
        <v>1708</v>
      </c>
      <c r="J12" s="1"/>
      <c r="K12" s="1"/>
      <c r="L12" s="1"/>
      <c r="M12" s="1"/>
      <c r="N12" s="1"/>
      <c r="O12" s="1"/>
      <c r="P12" s="1"/>
      <c r="Q12" s="1"/>
      <c r="R12" s="1"/>
      <c r="S12" s="1"/>
      <c r="T12" s="1"/>
      <c r="U12" s="1"/>
      <c r="V12" s="1"/>
      <c r="W12" s="1"/>
      <c r="X12" s="1"/>
      <c r="Y12" s="1"/>
      <c r="Z12" s="1"/>
    </row>
    <row r="13" spans="1:26" ht="30" customHeight="1">
      <c r="A13" s="3" t="s">
        <v>1709</v>
      </c>
      <c r="B13" s="3" t="s">
        <v>1710</v>
      </c>
      <c r="C13" s="3" t="s">
        <v>1711</v>
      </c>
      <c r="D13" s="3" t="s">
        <v>1712</v>
      </c>
      <c r="E13" s="3" t="s">
        <v>1713</v>
      </c>
      <c r="F13" s="3" t="s">
        <v>45</v>
      </c>
      <c r="G13" s="4">
        <v>46230</v>
      </c>
      <c r="H13" s="3" t="s">
        <v>1637</v>
      </c>
      <c r="I13" s="3" t="s">
        <v>1714</v>
      </c>
      <c r="J13" s="1"/>
      <c r="K13" s="1"/>
      <c r="L13" s="1"/>
      <c r="M13" s="1"/>
      <c r="N13" s="1"/>
      <c r="O13" s="1"/>
      <c r="P13" s="1"/>
      <c r="Q13" s="1"/>
      <c r="R13" s="1"/>
      <c r="S13" s="1"/>
      <c r="T13" s="1"/>
      <c r="U13" s="1"/>
      <c r="V13" s="1"/>
      <c r="W13" s="1"/>
      <c r="X13" s="1"/>
      <c r="Y13" s="1"/>
      <c r="Z13" s="1"/>
    </row>
    <row r="14" spans="1:26" ht="30" customHeight="1">
      <c r="A14" s="3" t="s">
        <v>1715</v>
      </c>
      <c r="B14" s="3" t="s">
        <v>1716</v>
      </c>
      <c r="C14" s="3" t="s">
        <v>40</v>
      </c>
      <c r="D14" s="3" t="s">
        <v>1717</v>
      </c>
      <c r="E14" s="3" t="s">
        <v>1669</v>
      </c>
      <c r="F14" s="3" t="s">
        <v>44</v>
      </c>
      <c r="G14" s="4">
        <v>46223</v>
      </c>
      <c r="H14" s="3" t="s">
        <v>1637</v>
      </c>
      <c r="I14" s="3" t="s">
        <v>1718</v>
      </c>
      <c r="J14" s="1"/>
      <c r="K14" s="1"/>
      <c r="L14" s="1"/>
      <c r="M14" s="1"/>
      <c r="N14" s="1"/>
      <c r="O14" s="1"/>
      <c r="P14" s="1"/>
      <c r="Q14" s="1"/>
      <c r="R14" s="1"/>
      <c r="S14" s="1"/>
      <c r="T14" s="1"/>
      <c r="U14" s="1"/>
      <c r="V14" s="1"/>
      <c r="W14" s="1"/>
      <c r="X14" s="1"/>
      <c r="Y14" s="1"/>
      <c r="Z14" s="1"/>
    </row>
    <row r="15" spans="1:26" ht="30" customHeight="1">
      <c r="A15" s="3" t="s">
        <v>1719</v>
      </c>
      <c r="B15" s="3" t="s">
        <v>1720</v>
      </c>
      <c r="C15" s="3" t="s">
        <v>1721</v>
      </c>
      <c r="D15" s="3" t="s">
        <v>1722</v>
      </c>
      <c r="E15" s="3" t="s">
        <v>1681</v>
      </c>
      <c r="F15" s="3" t="s">
        <v>44</v>
      </c>
      <c r="G15" s="4">
        <v>46233</v>
      </c>
      <c r="H15" s="3" t="s">
        <v>95</v>
      </c>
      <c r="I15" s="3" t="s">
        <v>1723</v>
      </c>
      <c r="J15" s="1"/>
      <c r="K15" s="1"/>
      <c r="L15" s="1"/>
      <c r="M15" s="1"/>
      <c r="N15" s="1"/>
      <c r="O15" s="1"/>
      <c r="P15" s="1"/>
      <c r="Q15" s="1"/>
      <c r="R15" s="1"/>
      <c r="S15" s="1"/>
      <c r="T15" s="1"/>
      <c r="U15" s="1"/>
      <c r="V15" s="1"/>
      <c r="W15" s="1"/>
      <c r="X15" s="1"/>
      <c r="Y15" s="1"/>
      <c r="Z15" s="1"/>
    </row>
    <row r="16" spans="1:26" ht="30" customHeight="1">
      <c r="A16" s="3" t="s">
        <v>1724</v>
      </c>
      <c r="B16" s="3" t="s">
        <v>1725</v>
      </c>
      <c r="C16" s="3" t="s">
        <v>136</v>
      </c>
      <c r="D16" s="3" t="s">
        <v>1726</v>
      </c>
      <c r="E16" s="3" t="s">
        <v>1727</v>
      </c>
      <c r="F16" s="3" t="s">
        <v>44</v>
      </c>
      <c r="G16" s="4">
        <v>46233</v>
      </c>
      <c r="H16" s="3" t="s">
        <v>95</v>
      </c>
      <c r="I16" s="3" t="s">
        <v>1728</v>
      </c>
      <c r="J16" s="1"/>
      <c r="K16" s="1"/>
      <c r="L16" s="1"/>
      <c r="M16" s="1"/>
      <c r="N16" s="1"/>
      <c r="O16" s="1"/>
      <c r="P16" s="1"/>
      <c r="Q16" s="1"/>
      <c r="R16" s="1"/>
      <c r="S16" s="1"/>
      <c r="T16" s="1"/>
      <c r="U16" s="1"/>
      <c r="V16" s="1"/>
      <c r="W16" s="1"/>
      <c r="X16" s="1"/>
      <c r="Y16" s="1"/>
      <c r="Z16" s="1"/>
    </row>
    <row r="17" spans="1:26" ht="30" customHeight="1">
      <c r="A17" s="3" t="s">
        <v>1729</v>
      </c>
      <c r="B17" s="3" t="s">
        <v>1730</v>
      </c>
      <c r="C17" s="3" t="s">
        <v>1731</v>
      </c>
      <c r="D17" s="3" t="s">
        <v>1732</v>
      </c>
      <c r="E17" s="3" t="s">
        <v>1681</v>
      </c>
      <c r="F17" s="3" t="s">
        <v>45</v>
      </c>
      <c r="G17" s="4">
        <v>46239</v>
      </c>
      <c r="H17" s="3" t="s">
        <v>1637</v>
      </c>
      <c r="I17" s="3" t="s">
        <v>1733</v>
      </c>
      <c r="J17" s="1"/>
      <c r="K17" s="1"/>
      <c r="L17" s="1"/>
      <c r="M17" s="1"/>
      <c r="N17" s="1"/>
      <c r="O17" s="1"/>
      <c r="P17" s="1"/>
      <c r="Q17" s="1"/>
      <c r="R17" s="1"/>
      <c r="S17" s="1"/>
      <c r="T17" s="1"/>
      <c r="U17" s="1"/>
      <c r="V17" s="1"/>
      <c r="W17" s="1"/>
      <c r="X17" s="1"/>
      <c r="Y17" s="1"/>
      <c r="Z17" s="1"/>
    </row>
    <row r="18" spans="1:26" ht="30" customHeight="1">
      <c r="A18" s="3" t="s">
        <v>1734</v>
      </c>
      <c r="B18" s="3" t="s">
        <v>1735</v>
      </c>
      <c r="C18" s="3" t="s">
        <v>1467</v>
      </c>
      <c r="D18" s="3" t="s">
        <v>1736</v>
      </c>
      <c r="E18" s="3" t="s">
        <v>1737</v>
      </c>
      <c r="F18" s="3" t="s">
        <v>44</v>
      </c>
      <c r="G18" s="4">
        <v>46229</v>
      </c>
      <c r="H18" s="3" t="s">
        <v>1637</v>
      </c>
      <c r="I18" s="3" t="s">
        <v>1738</v>
      </c>
      <c r="J18" s="1"/>
      <c r="K18" s="1"/>
      <c r="L18" s="1"/>
      <c r="M18" s="1"/>
      <c r="N18" s="1"/>
      <c r="O18" s="1"/>
      <c r="P18" s="1"/>
      <c r="Q18" s="1"/>
      <c r="R18" s="1"/>
      <c r="S18" s="1"/>
      <c r="T18" s="1"/>
      <c r="U18" s="1"/>
      <c r="V18" s="1"/>
      <c r="W18" s="1"/>
      <c r="X18" s="1"/>
      <c r="Y18" s="1"/>
      <c r="Z18" s="1"/>
    </row>
    <row r="19" spans="1:26" ht="30" customHeight="1">
      <c r="A19" s="3" t="s">
        <v>1739</v>
      </c>
      <c r="B19" s="3" t="s">
        <v>1740</v>
      </c>
      <c r="C19" s="3" t="s">
        <v>277</v>
      </c>
      <c r="D19" s="3" t="s">
        <v>1741</v>
      </c>
      <c r="E19" s="3" t="s">
        <v>1737</v>
      </c>
      <c r="F19" s="3" t="s">
        <v>44</v>
      </c>
      <c r="G19" s="4">
        <v>46231</v>
      </c>
      <c r="H19" s="3" t="s">
        <v>95</v>
      </c>
      <c r="I19" s="3" t="s">
        <v>1742</v>
      </c>
      <c r="J19" s="1"/>
      <c r="K19" s="1"/>
      <c r="L19" s="1"/>
      <c r="M19" s="1"/>
      <c r="N19" s="1"/>
      <c r="O19" s="1"/>
      <c r="P19" s="1"/>
      <c r="Q19" s="1"/>
      <c r="R19" s="1"/>
      <c r="S19" s="1"/>
      <c r="T19" s="1"/>
      <c r="U19" s="1"/>
      <c r="V19" s="1"/>
      <c r="W19" s="1"/>
      <c r="X19" s="1"/>
      <c r="Y19" s="1"/>
      <c r="Z19" s="1"/>
    </row>
    <row r="20" spans="1:26" ht="30" customHeight="1">
      <c r="A20" s="3" t="s">
        <v>1743</v>
      </c>
      <c r="B20" s="3" t="s">
        <v>1744</v>
      </c>
      <c r="C20" s="3" t="s">
        <v>289</v>
      </c>
      <c r="D20" s="3" t="s">
        <v>1745</v>
      </c>
      <c r="E20" s="3" t="s">
        <v>1746</v>
      </c>
      <c r="F20" s="3" t="s">
        <v>44</v>
      </c>
      <c r="G20" s="4">
        <v>46237</v>
      </c>
      <c r="H20" s="3" t="s">
        <v>95</v>
      </c>
      <c r="I20" s="3" t="s">
        <v>1747</v>
      </c>
      <c r="J20" s="1"/>
      <c r="K20" s="1"/>
      <c r="L20" s="1"/>
      <c r="M20" s="1"/>
      <c r="N20" s="1"/>
      <c r="O20" s="1"/>
      <c r="P20" s="1"/>
      <c r="Q20" s="1"/>
      <c r="R20" s="1"/>
      <c r="S20" s="1"/>
      <c r="T20" s="1"/>
      <c r="U20" s="1"/>
      <c r="V20" s="1"/>
      <c r="W20" s="1"/>
      <c r="X20" s="1"/>
      <c r="Y20" s="1"/>
      <c r="Z20" s="1"/>
    </row>
    <row r="21" spans="1:26" ht="30" customHeight="1">
      <c r="A21" s="3" t="s">
        <v>1748</v>
      </c>
      <c r="B21" s="3" t="s">
        <v>1749</v>
      </c>
      <c r="C21" s="3" t="s">
        <v>175</v>
      </c>
      <c r="D21" s="3" t="s">
        <v>1750</v>
      </c>
      <c r="E21" s="3" t="s">
        <v>1751</v>
      </c>
      <c r="F21" s="3" t="s">
        <v>45</v>
      </c>
      <c r="G21" s="4">
        <v>46245</v>
      </c>
      <c r="H21" s="3" t="s">
        <v>95</v>
      </c>
      <c r="I21" s="3" t="s">
        <v>1752</v>
      </c>
      <c r="J21" s="1"/>
      <c r="K21" s="1"/>
      <c r="L21" s="1"/>
      <c r="M21" s="1"/>
      <c r="N21" s="1"/>
      <c r="O21" s="1"/>
      <c r="P21" s="1"/>
      <c r="Q21" s="1"/>
      <c r="R21" s="1"/>
      <c r="S21" s="1"/>
      <c r="T21" s="1"/>
      <c r="U21" s="1"/>
      <c r="V21" s="1"/>
      <c r="W21" s="1"/>
      <c r="X21" s="1"/>
      <c r="Y21" s="1"/>
      <c r="Z21" s="1"/>
    </row>
    <row r="22" spans="1:26" ht="30" customHeight="1">
      <c r="A22" s="3" t="s">
        <v>1753</v>
      </c>
      <c r="B22" s="3" t="s">
        <v>1754</v>
      </c>
      <c r="C22" s="3" t="s">
        <v>187</v>
      </c>
      <c r="D22" s="3" t="s">
        <v>1755</v>
      </c>
      <c r="E22" s="3" t="s">
        <v>1756</v>
      </c>
      <c r="F22" s="3" t="s">
        <v>45</v>
      </c>
      <c r="G22" s="4">
        <v>46245</v>
      </c>
      <c r="H22" s="3" t="s">
        <v>95</v>
      </c>
      <c r="I22" s="3" t="s">
        <v>1752</v>
      </c>
      <c r="J22" s="1"/>
      <c r="K22" s="1"/>
      <c r="L22" s="1"/>
      <c r="M22" s="1"/>
      <c r="N22" s="1"/>
      <c r="O22" s="1"/>
      <c r="P22" s="1"/>
      <c r="Q22" s="1"/>
      <c r="R22" s="1"/>
      <c r="S22" s="1"/>
      <c r="T22" s="1"/>
      <c r="U22" s="1"/>
      <c r="V22" s="1"/>
      <c r="W22" s="1"/>
      <c r="X22" s="1"/>
      <c r="Y22" s="1"/>
      <c r="Z22" s="1"/>
    </row>
    <row r="23" spans="1:26" ht="30" customHeight="1">
      <c r="A23" s="3" t="s">
        <v>1757</v>
      </c>
      <c r="B23" s="3" t="s">
        <v>1758</v>
      </c>
      <c r="C23" s="3" t="s">
        <v>1759</v>
      </c>
      <c r="D23" s="3" t="s">
        <v>1760</v>
      </c>
      <c r="E23" s="3" t="s">
        <v>1761</v>
      </c>
      <c r="F23" s="3" t="s">
        <v>45</v>
      </c>
      <c r="G23" s="4">
        <v>46227</v>
      </c>
      <c r="H23" s="3" t="s">
        <v>1637</v>
      </c>
      <c r="I23" s="3" t="s">
        <v>1762</v>
      </c>
      <c r="J23" s="1"/>
      <c r="K23" s="1"/>
      <c r="L23" s="1"/>
      <c r="M23" s="1"/>
      <c r="N23" s="1"/>
      <c r="O23" s="1"/>
      <c r="P23" s="1"/>
      <c r="Q23" s="1"/>
      <c r="R23" s="1"/>
      <c r="S23" s="1"/>
      <c r="T23" s="1"/>
      <c r="U23" s="1"/>
      <c r="V23" s="1"/>
      <c r="W23" s="1"/>
      <c r="X23" s="1"/>
      <c r="Y23" s="1"/>
      <c r="Z23" s="1"/>
    </row>
    <row r="24" spans="1:26" ht="30" customHeight="1">
      <c r="A24" s="3" t="s">
        <v>1763</v>
      </c>
      <c r="B24" s="3" t="s">
        <v>1764</v>
      </c>
      <c r="C24" s="3" t="s">
        <v>1765</v>
      </c>
      <c r="D24" s="3" t="s">
        <v>1766</v>
      </c>
      <c r="E24" s="3" t="s">
        <v>1767</v>
      </c>
      <c r="F24" s="3" t="s">
        <v>44</v>
      </c>
      <c r="G24" s="4">
        <v>46227</v>
      </c>
      <c r="H24" s="3" t="s">
        <v>1637</v>
      </c>
      <c r="I24" s="3" t="s">
        <v>1768</v>
      </c>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conditionalFormatting sqref="F5:F24">
    <cfRule type="expression" dxfId="6" priority="6">
      <formula>F5="Critical"</formula>
    </cfRule>
    <cfRule type="expression" dxfId="5" priority="7">
      <formula>F5="High"</formula>
    </cfRule>
  </conditionalFormatting>
  <conditionalFormatting sqref="H5:H24">
    <cfRule type="expression" dxfId="4" priority="1">
      <formula>ISNUMBER(SEARCH("Delayed",H5))</formula>
    </cfRule>
    <cfRule type="expression" dxfId="3" priority="2">
      <formula>ISNUMBER(SEARCH("Escalated",H5))</formula>
    </cfRule>
    <cfRule type="expression" dxfId="2" priority="3">
      <formula>ISNUMBER(SEARCH("Completed",H5))</formula>
    </cfRule>
    <cfRule type="expression" dxfId="1" priority="4">
      <formula>ISNUMBER(SEARCH("Closed",H5))</formula>
    </cfRule>
    <cfRule type="expression" dxfId="0" priority="5">
      <formula>ISNUMBER(SEARCH("Information Required",H5))</formula>
    </cfRule>
  </conditionalFormatting>
  <dataValidations count="2">
    <dataValidation type="list" sqref="H5:H24" xr:uid="{00000000-0002-0000-0900-000000000000}">
      <formula1>"Not Started,Planned,Requested,Scheduled,In Progress,Open - verify status,Completed,Closed,Delayed,Escalated,Information Required"</formula1>
    </dataValidation>
    <dataValidation type="list" sqref="F5:F24" xr:uid="{00000000-0002-0000-0900-000001000000}">
      <formula1>"Critical,High,Medium,Low"</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0"/>
  <sheetViews>
    <sheetView workbookViewId="0">
      <selection sqref="A1:L1"/>
    </sheetView>
  </sheetViews>
  <sheetFormatPr defaultRowHeight="14.25"/>
  <cols>
    <col min="1" max="1" width="14" customWidth="1"/>
    <col min="2" max="2" width="90" customWidth="1"/>
    <col min="3" max="3" width="40" customWidth="1"/>
    <col min="4" max="4" width="80" customWidth="1"/>
  </cols>
  <sheetData>
    <row r="1" spans="1:26" ht="27.95" customHeight="1">
      <c r="A1" s="228" t="s">
        <v>1769</v>
      </c>
      <c r="B1" s="228"/>
      <c r="C1" s="228"/>
      <c r="D1" s="228"/>
      <c r="E1" s="228"/>
      <c r="F1" s="228"/>
      <c r="G1" s="228"/>
      <c r="H1" s="228"/>
      <c r="I1" s="228"/>
      <c r="J1" s="228"/>
      <c r="K1" s="228"/>
      <c r="L1" s="228"/>
      <c r="M1" s="1"/>
      <c r="N1" s="1"/>
      <c r="O1" s="1"/>
      <c r="P1" s="1"/>
      <c r="Q1" s="1"/>
      <c r="R1" s="1"/>
      <c r="S1" s="1"/>
      <c r="T1" s="1"/>
      <c r="U1" s="1"/>
      <c r="V1" s="1"/>
      <c r="W1" s="1"/>
      <c r="X1" s="1"/>
      <c r="Y1" s="1"/>
      <c r="Z1" s="1"/>
    </row>
    <row r="2" spans="1:26" ht="36" customHeight="1">
      <c r="A2" s="229" t="s">
        <v>1770</v>
      </c>
      <c r="B2" s="229"/>
      <c r="C2" s="229"/>
      <c r="D2" s="229"/>
      <c r="E2" s="229"/>
      <c r="F2" s="229"/>
      <c r="G2" s="229"/>
      <c r="H2" s="229"/>
      <c r="I2" s="229"/>
      <c r="J2" s="229"/>
      <c r="K2" s="229"/>
      <c r="L2" s="229"/>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2" t="s">
        <v>1771</v>
      </c>
      <c r="B4" s="2" t="s">
        <v>1772</v>
      </c>
      <c r="C4" s="2" t="s">
        <v>1773</v>
      </c>
      <c r="D4" s="2" t="s">
        <v>1774</v>
      </c>
      <c r="E4" s="1"/>
      <c r="F4" s="1"/>
      <c r="G4" s="1"/>
      <c r="H4" s="1"/>
      <c r="I4" s="1"/>
      <c r="J4" s="1"/>
      <c r="K4" s="1"/>
      <c r="L4" s="1"/>
      <c r="M4" s="1"/>
      <c r="N4" s="1"/>
      <c r="O4" s="1"/>
      <c r="P4" s="1"/>
      <c r="Q4" s="1"/>
      <c r="R4" s="1"/>
      <c r="S4" s="1"/>
      <c r="T4" s="1"/>
      <c r="U4" s="1"/>
      <c r="V4" s="1"/>
      <c r="W4" s="1"/>
      <c r="X4" s="1"/>
      <c r="Y4" s="1"/>
      <c r="Z4" s="1"/>
    </row>
    <row r="5" spans="1:26" ht="30" customHeight="1">
      <c r="A5" s="3" t="s">
        <v>1775</v>
      </c>
      <c r="B5" s="3" t="s">
        <v>1776</v>
      </c>
      <c r="C5" s="3" t="s">
        <v>1777</v>
      </c>
      <c r="D5" s="3" t="s">
        <v>1778</v>
      </c>
      <c r="E5" s="1"/>
      <c r="F5" s="1"/>
      <c r="G5" s="1"/>
      <c r="H5" s="1"/>
      <c r="I5" s="1"/>
      <c r="J5" s="1"/>
      <c r="K5" s="1"/>
      <c r="L5" s="1"/>
      <c r="M5" s="1"/>
      <c r="N5" s="1"/>
      <c r="O5" s="1"/>
      <c r="P5" s="1"/>
      <c r="Q5" s="1"/>
      <c r="R5" s="1"/>
      <c r="S5" s="1"/>
      <c r="T5" s="1"/>
      <c r="U5" s="1"/>
      <c r="V5" s="1"/>
      <c r="W5" s="1"/>
      <c r="X5" s="1"/>
      <c r="Y5" s="1"/>
      <c r="Z5" s="1"/>
    </row>
    <row r="6" spans="1:26" ht="30" customHeight="1">
      <c r="A6" s="3" t="s">
        <v>1779</v>
      </c>
      <c r="B6" s="3" t="s">
        <v>1780</v>
      </c>
      <c r="C6" s="3" t="s">
        <v>1781</v>
      </c>
      <c r="D6" s="3" t="s">
        <v>1782</v>
      </c>
      <c r="E6" s="1"/>
      <c r="F6" s="1"/>
      <c r="G6" s="1"/>
      <c r="H6" s="1"/>
      <c r="I6" s="1"/>
      <c r="J6" s="1"/>
      <c r="K6" s="1"/>
      <c r="L6" s="1"/>
      <c r="M6" s="1"/>
      <c r="N6" s="1"/>
      <c r="O6" s="1"/>
      <c r="P6" s="1"/>
      <c r="Q6" s="1"/>
      <c r="R6" s="1"/>
      <c r="S6" s="1"/>
      <c r="T6" s="1"/>
      <c r="U6" s="1"/>
      <c r="V6" s="1"/>
      <c r="W6" s="1"/>
      <c r="X6" s="1"/>
      <c r="Y6" s="1"/>
      <c r="Z6" s="1"/>
    </row>
    <row r="7" spans="1:26" ht="30" customHeight="1">
      <c r="A7" s="3" t="s">
        <v>1783</v>
      </c>
      <c r="B7" s="3" t="s">
        <v>1784</v>
      </c>
      <c r="C7" s="3" t="s">
        <v>1785</v>
      </c>
      <c r="D7" s="3" t="s">
        <v>1786</v>
      </c>
      <c r="E7" s="1"/>
      <c r="F7" s="1"/>
      <c r="G7" s="1"/>
      <c r="H7" s="1"/>
      <c r="I7" s="1"/>
      <c r="J7" s="1"/>
      <c r="K7" s="1"/>
      <c r="L7" s="1"/>
      <c r="M7" s="1"/>
      <c r="N7" s="1"/>
      <c r="O7" s="1"/>
      <c r="P7" s="1"/>
      <c r="Q7" s="1"/>
      <c r="R7" s="1"/>
      <c r="S7" s="1"/>
      <c r="T7" s="1"/>
      <c r="U7" s="1"/>
      <c r="V7" s="1"/>
      <c r="W7" s="1"/>
      <c r="X7" s="1"/>
      <c r="Y7" s="1"/>
      <c r="Z7" s="1"/>
    </row>
    <row r="8" spans="1:26" ht="30" customHeight="1">
      <c r="A8" s="3" t="s">
        <v>1787</v>
      </c>
      <c r="B8" s="3" t="s">
        <v>1788</v>
      </c>
      <c r="C8" s="3" t="s">
        <v>1789</v>
      </c>
      <c r="D8" s="3" t="s">
        <v>1790</v>
      </c>
      <c r="E8" s="1"/>
      <c r="F8" s="1"/>
      <c r="G8" s="1"/>
      <c r="H8" s="1"/>
      <c r="I8" s="1"/>
      <c r="J8" s="1"/>
      <c r="K8" s="1"/>
      <c r="L8" s="1"/>
      <c r="M8" s="1"/>
      <c r="N8" s="1"/>
      <c r="O8" s="1"/>
      <c r="P8" s="1"/>
      <c r="Q8" s="1"/>
      <c r="R8" s="1"/>
      <c r="S8" s="1"/>
      <c r="T8" s="1"/>
      <c r="U8" s="1"/>
      <c r="V8" s="1"/>
      <c r="W8" s="1"/>
      <c r="X8" s="1"/>
      <c r="Y8" s="1"/>
      <c r="Z8" s="1"/>
    </row>
    <row r="9" spans="1:26" ht="30" customHeight="1">
      <c r="A9" s="3" t="s">
        <v>1791</v>
      </c>
      <c r="B9" s="3" t="s">
        <v>1792</v>
      </c>
      <c r="C9" s="3" t="s">
        <v>1793</v>
      </c>
      <c r="D9" s="3" t="s">
        <v>1794</v>
      </c>
      <c r="E9" s="1"/>
      <c r="F9" s="1"/>
      <c r="G9" s="1"/>
      <c r="H9" s="1"/>
      <c r="I9" s="1"/>
      <c r="J9" s="1"/>
      <c r="K9" s="1"/>
      <c r="L9" s="1"/>
      <c r="M9" s="1"/>
      <c r="N9" s="1"/>
      <c r="O9" s="1"/>
      <c r="P9" s="1"/>
      <c r="Q9" s="1"/>
      <c r="R9" s="1"/>
      <c r="S9" s="1"/>
      <c r="T9" s="1"/>
      <c r="U9" s="1"/>
      <c r="V9" s="1"/>
      <c r="W9" s="1"/>
      <c r="X9" s="1"/>
      <c r="Y9" s="1"/>
      <c r="Z9" s="1"/>
    </row>
    <row r="10" spans="1:26" ht="30" customHeight="1">
      <c r="A10" s="3" t="s">
        <v>1795</v>
      </c>
      <c r="B10" s="3" t="s">
        <v>1796</v>
      </c>
      <c r="C10" s="3" t="s">
        <v>1797</v>
      </c>
      <c r="D10" s="3" t="s">
        <v>1798</v>
      </c>
      <c r="E10" s="1"/>
      <c r="F10" s="1"/>
      <c r="G10" s="1"/>
      <c r="H10" s="1"/>
      <c r="I10" s="1"/>
      <c r="J10" s="1"/>
      <c r="K10" s="1"/>
      <c r="L10" s="1"/>
      <c r="M10" s="1"/>
      <c r="N10" s="1"/>
      <c r="O10" s="1"/>
      <c r="P10" s="1"/>
      <c r="Q10" s="1"/>
      <c r="R10" s="1"/>
      <c r="S10" s="1"/>
      <c r="T10" s="1"/>
      <c r="U10" s="1"/>
      <c r="V10" s="1"/>
      <c r="W10" s="1"/>
      <c r="X10" s="1"/>
      <c r="Y10" s="1"/>
      <c r="Z10" s="1"/>
    </row>
    <row r="11" spans="1:26" ht="30" customHeight="1">
      <c r="A11" s="3" t="s">
        <v>1799</v>
      </c>
      <c r="B11" s="3" t="s">
        <v>1800</v>
      </c>
      <c r="C11" s="3" t="s">
        <v>1801</v>
      </c>
      <c r="D11" s="3" t="s">
        <v>1802</v>
      </c>
      <c r="E11" s="1"/>
      <c r="F11" s="1"/>
      <c r="G11" s="1"/>
      <c r="H11" s="1"/>
      <c r="I11" s="1"/>
      <c r="J11" s="1"/>
      <c r="K11" s="1"/>
      <c r="L11" s="1"/>
      <c r="M11" s="1"/>
      <c r="N11" s="1"/>
      <c r="O11" s="1"/>
      <c r="P11" s="1"/>
      <c r="Q11" s="1"/>
      <c r="R11" s="1"/>
      <c r="S11" s="1"/>
      <c r="T11" s="1"/>
      <c r="U11" s="1"/>
      <c r="V11" s="1"/>
      <c r="W11" s="1"/>
      <c r="X11" s="1"/>
      <c r="Y11" s="1"/>
      <c r="Z11" s="1"/>
    </row>
    <row r="12" spans="1:26" ht="30" customHeight="1">
      <c r="A12" s="3" t="s">
        <v>1803</v>
      </c>
      <c r="B12" s="3" t="s">
        <v>1804</v>
      </c>
      <c r="C12" s="3" t="s">
        <v>1805</v>
      </c>
      <c r="D12" s="3" t="s">
        <v>1806</v>
      </c>
      <c r="E12" s="1"/>
      <c r="F12" s="1"/>
      <c r="G12" s="1"/>
      <c r="H12" s="1"/>
      <c r="I12" s="1"/>
      <c r="J12" s="1"/>
      <c r="K12" s="1"/>
      <c r="L12" s="1"/>
      <c r="M12" s="1"/>
      <c r="N12" s="1"/>
      <c r="O12" s="1"/>
      <c r="P12" s="1"/>
      <c r="Q12" s="1"/>
      <c r="R12" s="1"/>
      <c r="S12" s="1"/>
      <c r="T12" s="1"/>
      <c r="U12" s="1"/>
      <c r="V12" s="1"/>
      <c r="W12" s="1"/>
      <c r="X12" s="1"/>
      <c r="Y12" s="1"/>
      <c r="Z12" s="1"/>
    </row>
    <row r="13" spans="1:26" ht="30" customHeight="1">
      <c r="A13" s="3" t="s">
        <v>1807</v>
      </c>
      <c r="B13" s="3" t="s">
        <v>1808</v>
      </c>
      <c r="C13" s="3" t="s">
        <v>1809</v>
      </c>
      <c r="D13" s="3" t="s">
        <v>1810</v>
      </c>
      <c r="E13" s="1"/>
      <c r="F13" s="1"/>
      <c r="G13" s="1"/>
      <c r="H13" s="1"/>
      <c r="I13" s="1"/>
      <c r="J13" s="1"/>
      <c r="K13" s="1"/>
      <c r="L13" s="1"/>
      <c r="M13" s="1"/>
      <c r="N13" s="1"/>
      <c r="O13" s="1"/>
      <c r="P13" s="1"/>
      <c r="Q13" s="1"/>
      <c r="R13" s="1"/>
      <c r="S13" s="1"/>
      <c r="T13" s="1"/>
      <c r="U13" s="1"/>
      <c r="V13" s="1"/>
      <c r="W13" s="1"/>
      <c r="X13" s="1"/>
      <c r="Y13" s="1"/>
      <c r="Z13" s="1"/>
    </row>
    <row r="14" spans="1:26" ht="30" customHeight="1">
      <c r="A14" s="3" t="s">
        <v>1811</v>
      </c>
      <c r="B14" s="3" t="s">
        <v>1812</v>
      </c>
      <c r="C14" s="3" t="s">
        <v>1813</v>
      </c>
      <c r="D14" s="3" t="s">
        <v>1814</v>
      </c>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30" customHeight="1">
      <c r="A18" s="2" t="s">
        <v>1815</v>
      </c>
      <c r="B18" s="2" t="s">
        <v>1816</v>
      </c>
      <c r="C18" s="1"/>
      <c r="D18" s="1"/>
      <c r="E18" s="1"/>
      <c r="F18" s="1"/>
      <c r="G18" s="1"/>
      <c r="H18" s="1"/>
      <c r="I18" s="1"/>
      <c r="J18" s="1"/>
      <c r="K18" s="1"/>
      <c r="L18" s="1"/>
      <c r="M18" s="1"/>
      <c r="N18" s="1"/>
      <c r="O18" s="1"/>
      <c r="P18" s="1"/>
      <c r="Q18" s="1"/>
      <c r="R18" s="1"/>
      <c r="S18" s="1"/>
      <c r="T18" s="1"/>
      <c r="U18" s="1"/>
      <c r="V18" s="1"/>
      <c r="W18" s="1"/>
      <c r="X18" s="1"/>
      <c r="Y18" s="1"/>
      <c r="Z18" s="1"/>
    </row>
    <row r="19" spans="1:26" ht="30" customHeight="1">
      <c r="A19" s="3" t="s">
        <v>1817</v>
      </c>
      <c r="B19" s="3" t="s">
        <v>1818</v>
      </c>
      <c r="C19" s="1"/>
      <c r="D19" s="1"/>
      <c r="E19" s="1"/>
      <c r="F19" s="1"/>
      <c r="G19" s="1"/>
      <c r="H19" s="1"/>
      <c r="I19" s="1"/>
      <c r="J19" s="1"/>
      <c r="K19" s="1"/>
      <c r="L19" s="1"/>
      <c r="M19" s="1"/>
      <c r="N19" s="1"/>
      <c r="O19" s="1"/>
      <c r="P19" s="1"/>
      <c r="Q19" s="1"/>
      <c r="R19" s="1"/>
      <c r="S19" s="1"/>
      <c r="T19" s="1"/>
      <c r="U19" s="1"/>
      <c r="V19" s="1"/>
      <c r="W19" s="1"/>
      <c r="X19" s="1"/>
      <c r="Y19" s="1"/>
      <c r="Z19" s="1"/>
    </row>
    <row r="20" spans="1:26" ht="30" customHeight="1">
      <c r="A20" s="3" t="s">
        <v>1819</v>
      </c>
      <c r="B20" s="3" t="s">
        <v>1820</v>
      </c>
      <c r="C20" s="1"/>
      <c r="D20" s="1"/>
      <c r="E20" s="1"/>
      <c r="F20" s="1"/>
      <c r="G20" s="1"/>
      <c r="H20" s="1"/>
      <c r="I20" s="1"/>
      <c r="J20" s="1"/>
      <c r="K20" s="1"/>
      <c r="L20" s="1"/>
      <c r="M20" s="1"/>
      <c r="N20" s="1"/>
      <c r="O20" s="1"/>
      <c r="P20" s="1"/>
      <c r="Q20" s="1"/>
      <c r="R20" s="1"/>
      <c r="S20" s="1"/>
      <c r="T20" s="1"/>
      <c r="U20" s="1"/>
      <c r="V20" s="1"/>
      <c r="W20" s="1"/>
      <c r="X20" s="1"/>
      <c r="Y20" s="1"/>
      <c r="Z20" s="1"/>
    </row>
    <row r="21" spans="1:26" ht="30" customHeight="1">
      <c r="A21" s="3" t="s">
        <v>1821</v>
      </c>
      <c r="B21" s="3" t="s">
        <v>1822</v>
      </c>
      <c r="C21" s="1"/>
      <c r="D21" s="1"/>
      <c r="E21" s="1"/>
      <c r="F21" s="1"/>
      <c r="G21" s="1"/>
      <c r="H21" s="1"/>
      <c r="I21" s="1"/>
      <c r="J21" s="1"/>
      <c r="K21" s="1"/>
      <c r="L21" s="1"/>
      <c r="M21" s="1"/>
      <c r="N21" s="1"/>
      <c r="O21" s="1"/>
      <c r="P21" s="1"/>
      <c r="Q21" s="1"/>
      <c r="R21" s="1"/>
      <c r="S21" s="1"/>
      <c r="T21" s="1"/>
      <c r="U21" s="1"/>
      <c r="V21" s="1"/>
      <c r="W21" s="1"/>
      <c r="X21" s="1"/>
      <c r="Y21" s="1"/>
      <c r="Z21" s="1"/>
    </row>
    <row r="22" spans="1:26" ht="30" customHeight="1">
      <c r="A22" s="3" t="s">
        <v>1823</v>
      </c>
      <c r="B22" s="3" t="s">
        <v>1824</v>
      </c>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2">
    <mergeCell ref="A1:L1"/>
    <mergeCell ref="A2:L2"/>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E177-3521-4236-8D6B-25AA8334F2E4}">
  <dimension ref="A1:C25"/>
  <sheetViews>
    <sheetView workbookViewId="0">
      <selection activeCell="H5" sqref="H5"/>
    </sheetView>
  </sheetViews>
  <sheetFormatPr defaultRowHeight="14.25"/>
  <cols>
    <col min="1" max="1" width="43.625" customWidth="1"/>
    <col min="2" max="2" width="95" customWidth="1"/>
    <col min="3" max="3" width="28" customWidth="1"/>
  </cols>
  <sheetData>
    <row r="1" spans="1:3" ht="45">
      <c r="A1" s="18" t="s">
        <v>1009</v>
      </c>
      <c r="B1" s="18" t="s">
        <v>1825</v>
      </c>
      <c r="C1" s="18" t="s">
        <v>1826</v>
      </c>
    </row>
    <row r="2" spans="1:3" ht="28.5">
      <c r="A2" s="19" t="s">
        <v>1827</v>
      </c>
      <c r="B2" s="19" t="s">
        <v>1828</v>
      </c>
      <c r="C2" s="19" t="s">
        <v>1829</v>
      </c>
    </row>
    <row r="3" spans="1:3">
      <c r="A3" s="19" t="s">
        <v>1830</v>
      </c>
      <c r="B3" s="19" t="s">
        <v>1831</v>
      </c>
      <c r="C3" s="19" t="s">
        <v>1829</v>
      </c>
    </row>
    <row r="4" spans="1:3" ht="42.75">
      <c r="A4" s="19" t="s">
        <v>1830</v>
      </c>
      <c r="B4" s="19" t="s">
        <v>1832</v>
      </c>
      <c r="C4" s="19" t="s">
        <v>1829</v>
      </c>
    </row>
    <row r="5" spans="1:3" ht="28.5">
      <c r="A5" s="19" t="s">
        <v>1833</v>
      </c>
      <c r="B5" s="19" t="s">
        <v>1834</v>
      </c>
      <c r="C5" s="19" t="s">
        <v>1829</v>
      </c>
    </row>
    <row r="6" spans="1:3" ht="28.5">
      <c r="A6" s="19" t="s">
        <v>1833</v>
      </c>
      <c r="B6" s="19" t="s">
        <v>1835</v>
      </c>
      <c r="C6" s="19" t="s">
        <v>1829</v>
      </c>
    </row>
    <row r="7" spans="1:3" ht="28.5">
      <c r="A7" s="19" t="s">
        <v>1836</v>
      </c>
      <c r="B7" s="19" t="s">
        <v>1837</v>
      </c>
      <c r="C7" s="19" t="s">
        <v>1838</v>
      </c>
    </row>
    <row r="8" spans="1:3" ht="28.5">
      <c r="A8" s="19" t="s">
        <v>1018</v>
      </c>
      <c r="B8" s="19" t="s">
        <v>1839</v>
      </c>
      <c r="C8" s="19" t="s">
        <v>1838</v>
      </c>
    </row>
    <row r="9" spans="1:3" ht="28.5">
      <c r="A9" s="19" t="s">
        <v>1018</v>
      </c>
      <c r="B9" s="19" t="s">
        <v>1840</v>
      </c>
      <c r="C9" s="19" t="s">
        <v>1838</v>
      </c>
    </row>
    <row r="10" spans="1:3">
      <c r="A10" s="19" t="s">
        <v>97</v>
      </c>
      <c r="B10" s="19" t="s">
        <v>1841</v>
      </c>
      <c r="C10" s="19" t="s">
        <v>1838</v>
      </c>
    </row>
    <row r="11" spans="1:3">
      <c r="A11" s="19" t="s">
        <v>97</v>
      </c>
      <c r="B11" s="19" t="s">
        <v>1842</v>
      </c>
      <c r="C11" s="19" t="s">
        <v>1838</v>
      </c>
    </row>
    <row r="12" spans="1:3" ht="28.5">
      <c r="A12" s="19" t="s">
        <v>1324</v>
      </c>
      <c r="B12" s="19" t="s">
        <v>1843</v>
      </c>
      <c r="C12" s="19" t="s">
        <v>1838</v>
      </c>
    </row>
    <row r="13" spans="1:3" ht="28.5">
      <c r="A13" s="19" t="s">
        <v>1324</v>
      </c>
      <c r="B13" s="19" t="s">
        <v>1844</v>
      </c>
      <c r="C13" s="19" t="s">
        <v>1838</v>
      </c>
    </row>
    <row r="14" spans="1:3" ht="28.5">
      <c r="A14" s="19" t="s">
        <v>1324</v>
      </c>
      <c r="B14" s="19" t="s">
        <v>1845</v>
      </c>
      <c r="C14" s="19" t="s">
        <v>1838</v>
      </c>
    </row>
    <row r="15" spans="1:3" ht="28.5">
      <c r="A15" s="19" t="s">
        <v>1324</v>
      </c>
      <c r="B15" s="19" t="s">
        <v>1846</v>
      </c>
      <c r="C15" s="19" t="s">
        <v>1838</v>
      </c>
    </row>
    <row r="16" spans="1:3" ht="28.5">
      <c r="A16" s="19" t="s">
        <v>1324</v>
      </c>
      <c r="B16" s="19" t="s">
        <v>1847</v>
      </c>
      <c r="C16" s="19" t="s">
        <v>1838</v>
      </c>
    </row>
    <row r="17" spans="1:3" ht="28.5">
      <c r="A17" s="19" t="s">
        <v>56</v>
      </c>
      <c r="B17" s="19" t="s">
        <v>1848</v>
      </c>
      <c r="C17" s="19" t="s">
        <v>1838</v>
      </c>
    </row>
    <row r="18" spans="1:3" ht="28.5">
      <c r="A18" s="19" t="s">
        <v>1849</v>
      </c>
      <c r="B18" s="19" t="s">
        <v>1850</v>
      </c>
      <c r="C18" s="19" t="s">
        <v>1838</v>
      </c>
    </row>
    <row r="19" spans="1:3">
      <c r="A19" s="19" t="s">
        <v>1851</v>
      </c>
      <c r="B19" s="19" t="s">
        <v>1852</v>
      </c>
      <c r="C19" s="19" t="s">
        <v>1838</v>
      </c>
    </row>
    <row r="20" spans="1:3" ht="28.5">
      <c r="A20" s="19" t="s">
        <v>1851</v>
      </c>
      <c r="B20" s="19" t="s">
        <v>1853</v>
      </c>
      <c r="C20" s="19" t="s">
        <v>1838</v>
      </c>
    </row>
    <row r="21" spans="1:3" ht="28.5">
      <c r="A21" s="19" t="s">
        <v>1398</v>
      </c>
      <c r="B21" s="19" t="s">
        <v>1854</v>
      </c>
      <c r="C21" s="19" t="s">
        <v>1838</v>
      </c>
    </row>
    <row r="22" spans="1:3" ht="28.5">
      <c r="A22" s="19" t="s">
        <v>1398</v>
      </c>
      <c r="B22" s="19" t="s">
        <v>1855</v>
      </c>
      <c r="C22" s="19" t="s">
        <v>1838</v>
      </c>
    </row>
    <row r="23" spans="1:3" ht="28.5">
      <c r="A23" s="19" t="s">
        <v>1856</v>
      </c>
      <c r="B23" s="19" t="s">
        <v>1857</v>
      </c>
      <c r="C23" s="19" t="s">
        <v>1838</v>
      </c>
    </row>
    <row r="24" spans="1:3">
      <c r="A24" s="19" t="s">
        <v>1300</v>
      </c>
      <c r="B24" s="19" t="s">
        <v>1858</v>
      </c>
      <c r="C24" s="19" t="s">
        <v>1838</v>
      </c>
    </row>
    <row r="25" spans="1:3" ht="28.5">
      <c r="A25" s="19" t="s">
        <v>1300</v>
      </c>
      <c r="B25" s="19" t="s">
        <v>1859</v>
      </c>
      <c r="C25" s="19" t="s">
        <v>1838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59C0AB2F60F842890084D9879F5CBA" ma:contentTypeVersion="13" ma:contentTypeDescription="Create a new document." ma:contentTypeScope="" ma:versionID="187ea730dd443b99a02eba341cc9fe85">
  <xsd:schema xmlns:xsd="http://www.w3.org/2001/XMLSchema" xmlns:xs="http://www.w3.org/2001/XMLSchema" xmlns:p="http://schemas.microsoft.com/office/2006/metadata/properties" xmlns:ns2="6a49d4ba-c302-4ba3-be19-ec43ac51bc60" xmlns:ns3="c24c9a3d-6ee1-4dd5-8886-cb548e099c8c" targetNamespace="http://schemas.microsoft.com/office/2006/metadata/properties" ma:root="true" ma:fieldsID="f263ebd8fe804db6d8c46efbd7200b7b" ns2:_="" ns3:_="">
    <xsd:import namespace="6a49d4ba-c302-4ba3-be19-ec43ac51bc60"/>
    <xsd:import namespace="c24c9a3d-6ee1-4dd5-8886-cb548e099c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49d4ba-c302-4ba3-be19-ec43ac51bc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5d298e1-810f-4711-8be9-ef4702f2a38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4c9a3d-6ee1-4dd5-8886-cb548e099c8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baa995e-e97f-4498-aad1-f19f79e93dfd}" ma:internalName="TaxCatchAll" ma:showField="CatchAllData" ma:web="c24c9a3d-6ee1-4dd5-8886-cb548e099c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24c9a3d-6ee1-4dd5-8886-cb548e099c8c" xsi:nil="true"/>
    <lcf76f155ced4ddcb4097134ff3c332f xmlns="6a49d4ba-c302-4ba3-be19-ec43ac51bc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E98CBA-33D6-428A-8A96-0D81AE1C70B9}">
  <ds:schemaRefs>
    <ds:schemaRef ds:uri="http://schemas.microsoft.com/sharepoint/v3/contenttype/forms"/>
  </ds:schemaRefs>
</ds:datastoreItem>
</file>

<file path=customXml/itemProps2.xml><?xml version="1.0" encoding="utf-8"?>
<ds:datastoreItem xmlns:ds="http://schemas.openxmlformats.org/officeDocument/2006/customXml" ds:itemID="{1ED8887D-1CB7-4E8A-9E9E-6D71C6DA24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49d4ba-c302-4ba3-be19-ec43ac51bc60"/>
    <ds:schemaRef ds:uri="c24c9a3d-6ee1-4dd5-8886-cb548e099c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09A18B-6C42-422B-8F84-52766E61A5AE}">
  <ds:schemaRefs>
    <ds:schemaRef ds:uri="http://schemas.openxmlformats.org/package/2006/metadata/core-properties"/>
    <ds:schemaRef ds:uri="http://www.w3.org/XML/1998/namespace"/>
    <ds:schemaRef ds:uri="http://purl.org/dc/terms/"/>
    <ds:schemaRef ds:uri="c24c9a3d-6ee1-4dd5-8886-cb548e099c8c"/>
    <ds:schemaRef ds:uri="http://schemas.microsoft.com/office/2006/documentManagement/types"/>
    <ds:schemaRef ds:uri="6a49d4ba-c302-4ba3-be19-ec43ac51bc60"/>
    <ds:schemaRef ds:uri="http://purl.org/dc/dcmitype/"/>
    <ds:schemaRef ds:uri="http://schemas.microsoft.com/office/infopath/2007/PartnerControls"/>
    <ds:schemaRef ds:uri="http://schemas.microsoft.com/office/2006/metadata/properties"/>
    <ds:schemaRef ds:uri="http://purl.org/dc/elements/1.1/"/>
  </ds:schemaRefs>
</ds:datastoreItem>
</file>

<file path=docMetadata/LabelInfo.xml><?xml version="1.0" encoding="utf-8"?>
<clbl:labelList xmlns:clbl="http://schemas.microsoft.com/office/2020/mipLabelMetadata">
  <clbl:label id="{d7b1f0cf-30a5-4d93-b463-b25202bbb969}" enabled="1" method="Privileged" siteId="{3d234255-e20f-4205-88a5-9658a40299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01_Exec Summary</vt:lpstr>
      <vt:lpstr>02_Engagement Strategy</vt:lpstr>
      <vt:lpstr>Sheet2</vt:lpstr>
      <vt:lpstr>03_Schedule</vt:lpstr>
      <vt:lpstr>04_Meeting Agendasxxxxxxxxxxxxx</vt:lpstr>
      <vt:lpstr>03_Scheduling priority</vt:lpstr>
      <vt:lpstr>Sheet1</vt:lpstr>
      <vt:lpstr>04_Previous Tracker</vt:lpstr>
      <vt:lpstr>05_Risk Register</vt:lpstr>
      <vt:lpstr>06_Detailed Question Bank</vt:lpstr>
      <vt:lpstr>7New Questions Not Asked Before</vt:lpstr>
      <vt:lpstr>Follow up status</vt:lpstr>
      <vt:lpstr>07_Scenarios</vt:lpstr>
      <vt:lpstr>08_Prioritization</vt:lpstr>
      <vt:lpstr>09_Two-Week Plan</vt:lpstr>
      <vt:lpstr>10_Info Required</vt:lpstr>
      <vt:lpstr>11_Source Notes</vt:lpstr>
      <vt:lpstr>07_Data Requests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Bakheet, Molham</dc:creator>
  <cp:keywords/>
  <dc:description/>
  <cp:lastModifiedBy>Gadah, Maan</cp:lastModifiedBy>
  <cp:revision/>
  <dcterms:created xsi:type="dcterms:W3CDTF">2026-07-12T05:17:34Z</dcterms:created>
  <dcterms:modified xsi:type="dcterms:W3CDTF">2026-08-24T08:00:37Z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0x0101009759C0AB2F60F842890084D9879F5CBA</vt:lpwstr>
  </property>
  <property fmtid="{D5CDD505-2E9C-101B-9397-08002B2CF9AE}" pid="3" name="MediaServiceImageTags">
    <vt:lpwstr/>
  </property>
</Properties>
</file>